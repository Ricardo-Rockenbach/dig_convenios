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Projetos\dig_convenios\data\"/>
    </mc:Choice>
  </mc:AlternateContent>
  <xr:revisionPtr revIDLastSave="0" documentId="13_ncr:1_{176F319C-4C9E-4706-932D-A7CFA13E49B1}" xr6:coauthVersionLast="47" xr6:coauthVersionMax="47" xr10:uidLastSave="{00000000-0000-0000-0000-000000000000}"/>
  <bookViews>
    <workbookView xWindow="28680" yWindow="-120" windowWidth="29040" windowHeight="15720" tabRatio="925" xr2:uid="{00000000-000D-0000-FFFF-FFFF00000000}"/>
  </bookViews>
  <sheets>
    <sheet name="Total" sheetId="1" r:id="rId1"/>
    <sheet name="Acordo Judicial" sheetId="2" r:id="rId2"/>
    <sheet name="Acordo" sheetId="3" r:id="rId3"/>
    <sheet name="C.M.I" sheetId="4" r:id="rId4"/>
    <sheet name="CABERGS" sheetId="5" r:id="rId5"/>
    <sheet name="CAIXA ECONOMICA" sheetId="6" r:id="rId6"/>
    <sheet name="CASSI" sheetId="7" r:id="rId7"/>
    <sheet name="EMBAIXADOR" sheetId="8" r:id="rId8"/>
    <sheet name="GEAP" sheetId="9" r:id="rId9"/>
    <sheet name="IPE" sheetId="10" r:id="rId10"/>
    <sheet name="IPE SEM PIN PAD" sheetId="11" r:id="rId11"/>
    <sheet name="PARTICULAR" sheetId="12" r:id="rId12"/>
    <sheet name="SAUDE BRADESCO" sheetId="13" r:id="rId13"/>
    <sheet name="SAUDE MAIOR" sheetId="14" r:id="rId14"/>
    <sheet name="SOCIOS" sheetId="15" r:id="rId15"/>
    <sheet name="SULAMERICA" sheetId="16" r:id="rId16"/>
    <sheet name="SUS" sheetId="17" r:id="rId17"/>
    <sheet name="UNIMED" sheetId="18" r:id="rId18"/>
    <sheet name="E.B.C.T." sheetId="19" r:id="rId19"/>
    <sheet name="Total Acordo Amb-Int" sheetId="20" r:id="rId20"/>
    <sheet name="Total C.M.I Amb-Int" sheetId="21" r:id="rId21"/>
    <sheet name="Total Socios Amb-Int" sheetId="22" r:id="rId22"/>
    <sheet name="Assefaz" sheetId="23" r:id="rId23"/>
    <sheet name="CAPESAUDE" sheetId="24" r:id="rId24"/>
    <sheet name="CASEMBRAPA" sheetId="25" r:id="rId25"/>
    <sheet name="FUSEX" sheetId="26" r:id="rId26"/>
    <sheet name="SAUDE PAS" sheetId="27" r:id="rId27"/>
    <sheet name="IPIRANGA - SAMEISA" sheetId="28" r:id="rId28"/>
    <sheet name="PETROBRAS" sheetId="29" r:id="rId29"/>
    <sheet name="SENRGISUL" sheetId="30" r:id="rId30"/>
    <sheet name="Plan1" sheetId="31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xlnm.Print_Area" localSheetId="2">Acordo!$A$1:$O$20</definedName>
    <definedName name="_xlnm.Print_Area" localSheetId="1">'Acordo Judicial'!$A$1:$O$20</definedName>
    <definedName name="_xlnm.Print_Area" localSheetId="5">'CAIXA ECONOMICA'!$A$1:$O$20</definedName>
    <definedName name="_xlnm.Print_Area" localSheetId="25">FUSEX!$A$1:$O$19</definedName>
    <definedName name="_xlnm.Print_Area" localSheetId="8">GEAP!$A$1:$O$20</definedName>
    <definedName name="_xlnm.Print_Area" localSheetId="9">IPE!$A$1:$O$20</definedName>
    <definedName name="_xlnm.Print_Area" localSheetId="27">'IPIRANGA - SAMEISA'!$A$1:$O$19</definedName>
    <definedName name="_xlnm.Print_Area" localSheetId="11">PARTICULAR!$A$1:$O$20</definedName>
    <definedName name="_xlnm.Print_Area" localSheetId="28">PETROBRAS!$A$1:$O$20</definedName>
    <definedName name="_xlnm.Print_Area" localSheetId="12">'SAUDE BRADESCO'!$A$1:$O$20</definedName>
    <definedName name="_xlnm.Print_Area" localSheetId="13">'SAUDE MAIOR'!$R$1:$AF$20</definedName>
    <definedName name="_xlnm.Print_Area" localSheetId="14">SOCIOS!$A$1:$O$20</definedName>
    <definedName name="_xlnm.Print_Area" localSheetId="15">SULAMERICA!$A$1:$O$20</definedName>
    <definedName name="_xlnm.Print_Area" localSheetId="16">SUS!$A$1:$O$20</definedName>
    <definedName name="_xlnm.Print_Area" localSheetId="0">Total!$A$416:$N$445</definedName>
    <definedName name="_xlnm.Print_Area" localSheetId="17">UNIMED!$A$1:$O$20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30" l="1"/>
  <c r="G23" i="30" s="1"/>
  <c r="H23" i="30" s="1"/>
  <c r="N18" i="30"/>
  <c r="L18" i="30"/>
  <c r="K18" i="30"/>
  <c r="J18" i="30"/>
  <c r="I18" i="30"/>
  <c r="H18" i="30"/>
  <c r="G18" i="30"/>
  <c r="F18" i="30"/>
  <c r="E18" i="30"/>
  <c r="D18" i="30"/>
  <c r="C18" i="30"/>
  <c r="N17" i="30"/>
  <c r="L17" i="30"/>
  <c r="K17" i="30"/>
  <c r="J17" i="30"/>
  <c r="I17" i="30"/>
  <c r="H17" i="30"/>
  <c r="G17" i="30"/>
  <c r="F17" i="30"/>
  <c r="E17" i="30"/>
  <c r="D17" i="30"/>
  <c r="C17" i="30"/>
  <c r="N16" i="30"/>
  <c r="L16" i="30"/>
  <c r="K16" i="30"/>
  <c r="J16" i="30"/>
  <c r="I16" i="30"/>
  <c r="H16" i="30"/>
  <c r="G16" i="30"/>
  <c r="F16" i="30"/>
  <c r="E16" i="30"/>
  <c r="D16" i="30"/>
  <c r="C16" i="30"/>
  <c r="N15" i="30"/>
  <c r="L15" i="30"/>
  <c r="K15" i="30"/>
  <c r="J15" i="30"/>
  <c r="I15" i="30"/>
  <c r="H15" i="30"/>
  <c r="G15" i="30"/>
  <c r="F15" i="30"/>
  <c r="E15" i="30"/>
  <c r="D15" i="30"/>
  <c r="C15" i="30"/>
  <c r="N14" i="30"/>
  <c r="L14" i="30"/>
  <c r="K14" i="30"/>
  <c r="J14" i="30"/>
  <c r="I14" i="30"/>
  <c r="H14" i="30"/>
  <c r="G14" i="30"/>
  <c r="F14" i="30"/>
  <c r="E14" i="30"/>
  <c r="D14" i="30"/>
  <c r="C14" i="30"/>
  <c r="N13" i="30"/>
  <c r="L13" i="30"/>
  <c r="K13" i="30"/>
  <c r="J13" i="30"/>
  <c r="I13" i="30"/>
  <c r="H13" i="30"/>
  <c r="G13" i="30"/>
  <c r="F13" i="30"/>
  <c r="E13" i="30"/>
  <c r="D13" i="30"/>
  <c r="C13" i="30"/>
  <c r="N12" i="30"/>
  <c r="L12" i="30"/>
  <c r="K12" i="30"/>
  <c r="J12" i="30"/>
  <c r="I12" i="30"/>
  <c r="H12" i="30"/>
  <c r="G12" i="30"/>
  <c r="F12" i="30"/>
  <c r="E12" i="30"/>
  <c r="D12" i="30"/>
  <c r="C12" i="30"/>
  <c r="N11" i="30"/>
  <c r="L11" i="30"/>
  <c r="K11" i="30"/>
  <c r="J11" i="30"/>
  <c r="I11" i="30"/>
  <c r="H11" i="30"/>
  <c r="G11" i="30"/>
  <c r="F11" i="30"/>
  <c r="E11" i="30"/>
  <c r="D11" i="30"/>
  <c r="C11" i="30"/>
  <c r="N10" i="30"/>
  <c r="L10" i="30"/>
  <c r="K10" i="30"/>
  <c r="J10" i="30"/>
  <c r="I10" i="30"/>
  <c r="H10" i="30"/>
  <c r="G10" i="30"/>
  <c r="F10" i="30"/>
  <c r="E10" i="30"/>
  <c r="D10" i="30"/>
  <c r="C10" i="30"/>
  <c r="N9" i="30"/>
  <c r="L9" i="30"/>
  <c r="K9" i="30"/>
  <c r="J9" i="30"/>
  <c r="I9" i="30"/>
  <c r="H9" i="30"/>
  <c r="G9" i="30"/>
  <c r="F9" i="30"/>
  <c r="E9" i="30"/>
  <c r="D9" i="30"/>
  <c r="C9" i="30"/>
  <c r="N8" i="30"/>
  <c r="L8" i="30"/>
  <c r="K8" i="30"/>
  <c r="J8" i="30"/>
  <c r="I8" i="30"/>
  <c r="H8" i="30"/>
  <c r="G8" i="30"/>
  <c r="F8" i="30"/>
  <c r="E8" i="30"/>
  <c r="D8" i="30"/>
  <c r="C8" i="30"/>
  <c r="N7" i="30"/>
  <c r="L7" i="30"/>
  <c r="K7" i="30"/>
  <c r="J7" i="30"/>
  <c r="J19" i="30" s="1"/>
  <c r="I7" i="30"/>
  <c r="H7" i="30"/>
  <c r="H19" i="30" s="1"/>
  <c r="G7" i="30"/>
  <c r="F7" i="30"/>
  <c r="E7" i="30"/>
  <c r="D7" i="30"/>
  <c r="C7" i="30"/>
  <c r="J4" i="30"/>
  <c r="G4" i="30"/>
  <c r="L19" i="29"/>
  <c r="K19" i="29"/>
  <c r="J19" i="29"/>
  <c r="I19" i="29"/>
  <c r="H19" i="29"/>
  <c r="G19" i="29"/>
  <c r="F19" i="29"/>
  <c r="E19" i="29"/>
  <c r="D19" i="29"/>
  <c r="C19" i="29"/>
  <c r="L18" i="29"/>
  <c r="K18" i="29"/>
  <c r="J18" i="29"/>
  <c r="I18" i="29"/>
  <c r="H18" i="29"/>
  <c r="G18" i="29"/>
  <c r="F18" i="29"/>
  <c r="E18" i="29"/>
  <c r="D18" i="29"/>
  <c r="C18" i="29"/>
  <c r="M17" i="29"/>
  <c r="L17" i="29"/>
  <c r="K17" i="29"/>
  <c r="J17" i="29"/>
  <c r="I17" i="29"/>
  <c r="H17" i="29"/>
  <c r="G17" i="29"/>
  <c r="F17" i="29"/>
  <c r="E17" i="29"/>
  <c r="D17" i="29"/>
  <c r="C17" i="29"/>
  <c r="L16" i="29"/>
  <c r="K16" i="29"/>
  <c r="J16" i="29"/>
  <c r="I16" i="29"/>
  <c r="H16" i="29"/>
  <c r="G16" i="29"/>
  <c r="F16" i="29"/>
  <c r="E16" i="29"/>
  <c r="D16" i="29"/>
  <c r="C16" i="29"/>
  <c r="L15" i="29"/>
  <c r="K15" i="29"/>
  <c r="J15" i="29"/>
  <c r="I15" i="29"/>
  <c r="H15" i="29"/>
  <c r="G15" i="29"/>
  <c r="F15" i="29"/>
  <c r="E15" i="29"/>
  <c r="D15" i="29"/>
  <c r="C15" i="29"/>
  <c r="M14" i="29"/>
  <c r="L14" i="29"/>
  <c r="K14" i="29"/>
  <c r="J14" i="29"/>
  <c r="I14" i="29"/>
  <c r="H14" i="29"/>
  <c r="G14" i="29"/>
  <c r="F14" i="29"/>
  <c r="E14" i="29"/>
  <c r="D14" i="29"/>
  <c r="C14" i="29"/>
  <c r="M13" i="29"/>
  <c r="L13" i="29"/>
  <c r="K13" i="29"/>
  <c r="J13" i="29"/>
  <c r="I13" i="29"/>
  <c r="H13" i="29"/>
  <c r="G13" i="29"/>
  <c r="F13" i="29"/>
  <c r="E13" i="29"/>
  <c r="D13" i="29"/>
  <c r="C13" i="29"/>
  <c r="L12" i="29"/>
  <c r="K12" i="29"/>
  <c r="J12" i="29"/>
  <c r="I12" i="29"/>
  <c r="H12" i="29"/>
  <c r="G12" i="29"/>
  <c r="F12" i="29"/>
  <c r="E12" i="29"/>
  <c r="D12" i="29"/>
  <c r="C12" i="29"/>
  <c r="L11" i="29"/>
  <c r="K11" i="29"/>
  <c r="J11" i="29"/>
  <c r="I11" i="29"/>
  <c r="H11" i="29"/>
  <c r="G11" i="29"/>
  <c r="F11" i="29"/>
  <c r="E11" i="29"/>
  <c r="D11" i="29"/>
  <c r="C11" i="29"/>
  <c r="L10" i="29"/>
  <c r="K10" i="29"/>
  <c r="J10" i="29"/>
  <c r="I10" i="29"/>
  <c r="H10" i="29"/>
  <c r="G10" i="29"/>
  <c r="F10" i="29"/>
  <c r="E10" i="29"/>
  <c r="D10" i="29"/>
  <c r="C10" i="29"/>
  <c r="N9" i="29"/>
  <c r="L9" i="29"/>
  <c r="K9" i="29"/>
  <c r="J9" i="29"/>
  <c r="I9" i="29"/>
  <c r="H9" i="29"/>
  <c r="G9" i="29"/>
  <c r="F9" i="29"/>
  <c r="E9" i="29"/>
  <c r="D9" i="29"/>
  <c r="C9" i="29"/>
  <c r="N8" i="29"/>
  <c r="M8" i="29"/>
  <c r="L8" i="29"/>
  <c r="K8" i="29"/>
  <c r="J8" i="29"/>
  <c r="I8" i="29"/>
  <c r="H8" i="29"/>
  <c r="G8" i="29"/>
  <c r="F8" i="29"/>
  <c r="E8" i="29"/>
  <c r="D8" i="29"/>
  <c r="C8" i="29"/>
  <c r="J5" i="29"/>
  <c r="G5" i="29"/>
  <c r="L18" i="28"/>
  <c r="K18" i="28"/>
  <c r="J18" i="28"/>
  <c r="I18" i="28"/>
  <c r="H18" i="28"/>
  <c r="G18" i="28"/>
  <c r="F18" i="28"/>
  <c r="E18" i="28"/>
  <c r="D18" i="28"/>
  <c r="C18" i="28"/>
  <c r="L17" i="28"/>
  <c r="K17" i="28"/>
  <c r="J17" i="28"/>
  <c r="I17" i="28"/>
  <c r="H17" i="28"/>
  <c r="G17" i="28"/>
  <c r="F17" i="28"/>
  <c r="E17" i="28"/>
  <c r="D17" i="28"/>
  <c r="C17" i="28"/>
  <c r="L16" i="28"/>
  <c r="K16" i="28"/>
  <c r="J16" i="28"/>
  <c r="I16" i="28"/>
  <c r="H16" i="28"/>
  <c r="G16" i="28"/>
  <c r="F16" i="28"/>
  <c r="E16" i="28"/>
  <c r="D16" i="28"/>
  <c r="C16" i="28"/>
  <c r="L15" i="28"/>
  <c r="K15" i="28"/>
  <c r="J15" i="28"/>
  <c r="I15" i="28"/>
  <c r="H15" i="28"/>
  <c r="G15" i="28"/>
  <c r="F15" i="28"/>
  <c r="E15" i="28"/>
  <c r="D15" i="28"/>
  <c r="C15" i="28"/>
  <c r="N14" i="28"/>
  <c r="L14" i="28"/>
  <c r="K14" i="28"/>
  <c r="J14" i="28"/>
  <c r="I14" i="28"/>
  <c r="H14" i="28"/>
  <c r="G14" i="28"/>
  <c r="F14" i="28"/>
  <c r="F19" i="28" s="1"/>
  <c r="E14" i="28"/>
  <c r="D14" i="28"/>
  <c r="C14" i="28"/>
  <c r="L13" i="28"/>
  <c r="K13" i="28"/>
  <c r="J13" i="28"/>
  <c r="I13" i="28"/>
  <c r="H13" i="28"/>
  <c r="G13" i="28"/>
  <c r="F13" i="28"/>
  <c r="E13" i="28"/>
  <c r="D13" i="28"/>
  <c r="C13" i="28"/>
  <c r="L12" i="28"/>
  <c r="K12" i="28"/>
  <c r="J12" i="28"/>
  <c r="I12" i="28"/>
  <c r="H12" i="28"/>
  <c r="G12" i="28"/>
  <c r="F12" i="28"/>
  <c r="E12" i="28"/>
  <c r="D12" i="28"/>
  <c r="C12" i="28"/>
  <c r="M11" i="28"/>
  <c r="L11" i="28"/>
  <c r="K11" i="28"/>
  <c r="J11" i="28"/>
  <c r="I11" i="28"/>
  <c r="H11" i="28"/>
  <c r="G11" i="28"/>
  <c r="F11" i="28"/>
  <c r="E11" i="28"/>
  <c r="D11" i="28"/>
  <c r="C11" i="28"/>
  <c r="L10" i="28"/>
  <c r="K10" i="28"/>
  <c r="J10" i="28"/>
  <c r="I10" i="28"/>
  <c r="H10" i="28"/>
  <c r="G10" i="28"/>
  <c r="F10" i="28"/>
  <c r="E10" i="28"/>
  <c r="D10" i="28"/>
  <c r="C10" i="28"/>
  <c r="L9" i="28"/>
  <c r="K9" i="28"/>
  <c r="J9" i="28"/>
  <c r="I9" i="28"/>
  <c r="H9" i="28"/>
  <c r="G9" i="28"/>
  <c r="G19" i="28" s="1"/>
  <c r="F9" i="28"/>
  <c r="E9" i="28"/>
  <c r="D9" i="28"/>
  <c r="C9" i="28"/>
  <c r="L8" i="28"/>
  <c r="K8" i="28"/>
  <c r="J8" i="28"/>
  <c r="I8" i="28"/>
  <c r="H8" i="28"/>
  <c r="G8" i="28"/>
  <c r="F8" i="28"/>
  <c r="E8" i="28"/>
  <c r="D8" i="28"/>
  <c r="C8" i="28"/>
  <c r="L7" i="28"/>
  <c r="K7" i="28"/>
  <c r="J7" i="28"/>
  <c r="I7" i="28"/>
  <c r="H7" i="28"/>
  <c r="G7" i="28"/>
  <c r="F7" i="28"/>
  <c r="E7" i="28"/>
  <c r="E19" i="28" s="1"/>
  <c r="D7" i="28"/>
  <c r="C7" i="28"/>
  <c r="C19" i="28" s="1"/>
  <c r="J4" i="28"/>
  <c r="F4" i="28"/>
  <c r="N18" i="27"/>
  <c r="L18" i="27"/>
  <c r="K18" i="27"/>
  <c r="J18" i="27"/>
  <c r="I18" i="27"/>
  <c r="H18" i="27"/>
  <c r="G18" i="27"/>
  <c r="F18" i="27"/>
  <c r="E18" i="27"/>
  <c r="D18" i="27"/>
  <c r="C18" i="27"/>
  <c r="N17" i="27"/>
  <c r="L17" i="27"/>
  <c r="K17" i="27"/>
  <c r="J17" i="27"/>
  <c r="I17" i="27"/>
  <c r="H17" i="27"/>
  <c r="G17" i="27"/>
  <c r="F17" i="27"/>
  <c r="E17" i="27"/>
  <c r="D17" i="27"/>
  <c r="C17" i="27"/>
  <c r="L16" i="27"/>
  <c r="K16" i="27"/>
  <c r="J16" i="27"/>
  <c r="I16" i="27"/>
  <c r="H16" i="27"/>
  <c r="G16" i="27"/>
  <c r="F16" i="27"/>
  <c r="E16" i="27"/>
  <c r="D16" i="27"/>
  <c r="C16" i="27"/>
  <c r="N15" i="27"/>
  <c r="M15" i="27"/>
  <c r="L15" i="27"/>
  <c r="K15" i="27"/>
  <c r="J15" i="27"/>
  <c r="I15" i="27"/>
  <c r="H15" i="27"/>
  <c r="G15" i="27"/>
  <c r="F15" i="27"/>
  <c r="E15" i="27"/>
  <c r="D15" i="27"/>
  <c r="C15" i="27"/>
  <c r="L14" i="27"/>
  <c r="K14" i="27"/>
  <c r="J14" i="27"/>
  <c r="I14" i="27"/>
  <c r="H14" i="27"/>
  <c r="G14" i="27"/>
  <c r="F14" i="27"/>
  <c r="E14" i="27"/>
  <c r="D14" i="27"/>
  <c r="C14" i="27"/>
  <c r="L13" i="27"/>
  <c r="K13" i="27"/>
  <c r="J13" i="27"/>
  <c r="I13" i="27"/>
  <c r="H13" i="27"/>
  <c r="G13" i="27"/>
  <c r="F13" i="27"/>
  <c r="E13" i="27"/>
  <c r="D13" i="27"/>
  <c r="C13" i="27"/>
  <c r="L12" i="27"/>
  <c r="K12" i="27"/>
  <c r="J12" i="27"/>
  <c r="I12" i="27"/>
  <c r="H12" i="27"/>
  <c r="G12" i="27"/>
  <c r="F12" i="27"/>
  <c r="E12" i="27"/>
  <c r="D12" i="27"/>
  <c r="C12" i="27"/>
  <c r="L11" i="27"/>
  <c r="K11" i="27"/>
  <c r="J11" i="27"/>
  <c r="I11" i="27"/>
  <c r="H11" i="27"/>
  <c r="G11" i="27"/>
  <c r="F11" i="27"/>
  <c r="E11" i="27"/>
  <c r="D11" i="27"/>
  <c r="C11" i="27"/>
  <c r="M10" i="27"/>
  <c r="L10" i="27"/>
  <c r="K10" i="27"/>
  <c r="J10" i="27"/>
  <c r="I10" i="27"/>
  <c r="H10" i="27"/>
  <c r="G10" i="27"/>
  <c r="F10" i="27"/>
  <c r="E10" i="27"/>
  <c r="D10" i="27"/>
  <c r="C10" i="27"/>
  <c r="L9" i="27"/>
  <c r="K9" i="27"/>
  <c r="J9" i="27"/>
  <c r="I9" i="27"/>
  <c r="H9" i="27"/>
  <c r="G9" i="27"/>
  <c r="F9" i="27"/>
  <c r="F19" i="27" s="1"/>
  <c r="E9" i="27"/>
  <c r="D9" i="27"/>
  <c r="C9" i="27"/>
  <c r="L8" i="27"/>
  <c r="K8" i="27"/>
  <c r="J8" i="27"/>
  <c r="I8" i="27"/>
  <c r="H8" i="27"/>
  <c r="G8" i="27"/>
  <c r="F8" i="27"/>
  <c r="E8" i="27"/>
  <c r="D8" i="27"/>
  <c r="C8" i="27"/>
  <c r="M7" i="27"/>
  <c r="L7" i="27"/>
  <c r="K7" i="27"/>
  <c r="J7" i="27"/>
  <c r="I7" i="27"/>
  <c r="H7" i="27"/>
  <c r="G7" i="27"/>
  <c r="F7" i="27"/>
  <c r="E7" i="27"/>
  <c r="E19" i="27" s="1"/>
  <c r="D7" i="27"/>
  <c r="D19" i="27" s="1"/>
  <c r="C7" i="27"/>
  <c r="C19" i="27" s="1"/>
  <c r="J4" i="27"/>
  <c r="G4" i="27"/>
  <c r="I19" i="26"/>
  <c r="L18" i="26"/>
  <c r="K18" i="26"/>
  <c r="J18" i="26"/>
  <c r="I18" i="26"/>
  <c r="H18" i="26"/>
  <c r="G18" i="26"/>
  <c r="F18" i="26"/>
  <c r="E18" i="26"/>
  <c r="D18" i="26"/>
  <c r="C18" i="26"/>
  <c r="L17" i="26"/>
  <c r="K17" i="26"/>
  <c r="J17" i="26"/>
  <c r="I17" i="26"/>
  <c r="H17" i="26"/>
  <c r="G17" i="26"/>
  <c r="F17" i="26"/>
  <c r="E17" i="26"/>
  <c r="D17" i="26"/>
  <c r="C17" i="26"/>
  <c r="M16" i="26"/>
  <c r="L16" i="26"/>
  <c r="K16" i="26"/>
  <c r="J16" i="26"/>
  <c r="I16" i="26"/>
  <c r="H16" i="26"/>
  <c r="G16" i="26"/>
  <c r="F16" i="26"/>
  <c r="E16" i="26"/>
  <c r="D16" i="26"/>
  <c r="C16" i="26"/>
  <c r="L15" i="26"/>
  <c r="K15" i="26"/>
  <c r="J15" i="26"/>
  <c r="I15" i="26"/>
  <c r="H15" i="26"/>
  <c r="G15" i="26"/>
  <c r="F15" i="26"/>
  <c r="E15" i="26"/>
  <c r="D15" i="26"/>
  <c r="C15" i="26"/>
  <c r="L14" i="26"/>
  <c r="K14" i="26"/>
  <c r="J14" i="26"/>
  <c r="I14" i="26"/>
  <c r="H14" i="26"/>
  <c r="G14" i="26"/>
  <c r="F14" i="26"/>
  <c r="E14" i="26"/>
  <c r="D14" i="26"/>
  <c r="C14" i="26"/>
  <c r="M13" i="26"/>
  <c r="L13" i="26"/>
  <c r="K13" i="26"/>
  <c r="J13" i="26"/>
  <c r="I13" i="26"/>
  <c r="H13" i="26"/>
  <c r="G13" i="26"/>
  <c r="F13" i="26"/>
  <c r="E13" i="26"/>
  <c r="D13" i="26"/>
  <c r="C13" i="26"/>
  <c r="L12" i="26"/>
  <c r="K12" i="26"/>
  <c r="J12" i="26"/>
  <c r="I12" i="26"/>
  <c r="H12" i="26"/>
  <c r="G12" i="26"/>
  <c r="F12" i="26"/>
  <c r="E12" i="26"/>
  <c r="D12" i="26"/>
  <c r="C12" i="26"/>
  <c r="N11" i="26"/>
  <c r="L11" i="26"/>
  <c r="K11" i="26"/>
  <c r="J11" i="26"/>
  <c r="I11" i="26"/>
  <c r="H11" i="26"/>
  <c r="G11" i="26"/>
  <c r="F11" i="26"/>
  <c r="E11" i="26"/>
  <c r="D11" i="26"/>
  <c r="C11" i="26"/>
  <c r="L10" i="26"/>
  <c r="K10" i="26"/>
  <c r="J10" i="26"/>
  <c r="I10" i="26"/>
  <c r="H10" i="26"/>
  <c r="G10" i="26"/>
  <c r="F10" i="26"/>
  <c r="E10" i="26"/>
  <c r="D10" i="26"/>
  <c r="C10" i="26"/>
  <c r="L9" i="26"/>
  <c r="K9" i="26"/>
  <c r="J9" i="26"/>
  <c r="I9" i="26"/>
  <c r="H9" i="26"/>
  <c r="G9" i="26"/>
  <c r="F9" i="26"/>
  <c r="E9" i="26"/>
  <c r="D9" i="26"/>
  <c r="C9" i="26"/>
  <c r="N8" i="26"/>
  <c r="L8" i="26"/>
  <c r="K8" i="26"/>
  <c r="J8" i="26"/>
  <c r="I8" i="26"/>
  <c r="H8" i="26"/>
  <c r="G8" i="26"/>
  <c r="F8" i="26"/>
  <c r="E8" i="26"/>
  <c r="E19" i="26" s="1"/>
  <c r="D8" i="26"/>
  <c r="C8" i="26"/>
  <c r="L7" i="26"/>
  <c r="K7" i="26"/>
  <c r="J7" i="26"/>
  <c r="I7" i="26"/>
  <c r="H7" i="26"/>
  <c r="H19" i="26" s="1"/>
  <c r="G7" i="26"/>
  <c r="G19" i="26" s="1"/>
  <c r="F7" i="26"/>
  <c r="E7" i="26"/>
  <c r="D7" i="26"/>
  <c r="C7" i="26"/>
  <c r="C19" i="26" s="1"/>
  <c r="J4" i="26"/>
  <c r="G4" i="26"/>
  <c r="L18" i="25"/>
  <c r="K18" i="25"/>
  <c r="J18" i="25"/>
  <c r="I18" i="25"/>
  <c r="H18" i="25"/>
  <c r="G18" i="25"/>
  <c r="F18" i="25"/>
  <c r="E18" i="25"/>
  <c r="D18" i="25"/>
  <c r="C18" i="25"/>
  <c r="L17" i="25"/>
  <c r="K17" i="25"/>
  <c r="J17" i="25"/>
  <c r="I17" i="25"/>
  <c r="H17" i="25"/>
  <c r="G17" i="25"/>
  <c r="F17" i="25"/>
  <c r="E17" i="25"/>
  <c r="D17" i="25"/>
  <c r="C17" i="25"/>
  <c r="L16" i="25"/>
  <c r="K16" i="25"/>
  <c r="J16" i="25"/>
  <c r="I16" i="25"/>
  <c r="H16" i="25"/>
  <c r="G16" i="25"/>
  <c r="F16" i="25"/>
  <c r="E16" i="25"/>
  <c r="D16" i="25"/>
  <c r="C16" i="25"/>
  <c r="M15" i="25"/>
  <c r="L15" i="25"/>
  <c r="K15" i="25"/>
  <c r="J15" i="25"/>
  <c r="I15" i="25"/>
  <c r="H15" i="25"/>
  <c r="G15" i="25"/>
  <c r="F15" i="25"/>
  <c r="E15" i="25"/>
  <c r="D15" i="25"/>
  <c r="C15" i="25"/>
  <c r="N14" i="25"/>
  <c r="L14" i="25"/>
  <c r="K14" i="25"/>
  <c r="J14" i="25"/>
  <c r="I14" i="25"/>
  <c r="H14" i="25"/>
  <c r="G14" i="25"/>
  <c r="F14" i="25"/>
  <c r="E14" i="25"/>
  <c r="E19" i="25" s="1"/>
  <c r="D14" i="25"/>
  <c r="C14" i="25"/>
  <c r="L13" i="25"/>
  <c r="K13" i="25"/>
  <c r="J13" i="25"/>
  <c r="I13" i="25"/>
  <c r="H13" i="25"/>
  <c r="G13" i="25"/>
  <c r="F13" i="25"/>
  <c r="E13" i="25"/>
  <c r="D13" i="25"/>
  <c r="C13" i="25"/>
  <c r="L12" i="25"/>
  <c r="K12" i="25"/>
  <c r="J12" i="25"/>
  <c r="I12" i="25"/>
  <c r="H12" i="25"/>
  <c r="G12" i="25"/>
  <c r="F12" i="25"/>
  <c r="E12" i="25"/>
  <c r="D12" i="25"/>
  <c r="C12" i="25"/>
  <c r="N11" i="25"/>
  <c r="L11" i="25"/>
  <c r="K11" i="25"/>
  <c r="J11" i="25"/>
  <c r="I11" i="25"/>
  <c r="H11" i="25"/>
  <c r="G11" i="25"/>
  <c r="F11" i="25"/>
  <c r="E11" i="25"/>
  <c r="D11" i="25"/>
  <c r="C11" i="25"/>
  <c r="L10" i="25"/>
  <c r="K10" i="25"/>
  <c r="J10" i="25"/>
  <c r="I10" i="25"/>
  <c r="H10" i="25"/>
  <c r="G10" i="25"/>
  <c r="F10" i="25"/>
  <c r="E10" i="25"/>
  <c r="D10" i="25"/>
  <c r="C10" i="25"/>
  <c r="N9" i="25"/>
  <c r="L9" i="25"/>
  <c r="L19" i="25" s="1"/>
  <c r="K9" i="25"/>
  <c r="J9" i="25"/>
  <c r="I9" i="25"/>
  <c r="H9" i="25"/>
  <c r="G9" i="25"/>
  <c r="F9" i="25"/>
  <c r="E9" i="25"/>
  <c r="D9" i="25"/>
  <c r="C9" i="25"/>
  <c r="L8" i="25"/>
  <c r="K8" i="25"/>
  <c r="J8" i="25"/>
  <c r="I8" i="25"/>
  <c r="H8" i="25"/>
  <c r="G8" i="25"/>
  <c r="F8" i="25"/>
  <c r="F19" i="25" s="1"/>
  <c r="E8" i="25"/>
  <c r="D8" i="25"/>
  <c r="D19" i="25" s="1"/>
  <c r="C8" i="25"/>
  <c r="L7" i="25"/>
  <c r="K7" i="25"/>
  <c r="J7" i="25"/>
  <c r="I7" i="25"/>
  <c r="H7" i="25"/>
  <c r="G7" i="25"/>
  <c r="F7" i="25"/>
  <c r="E7" i="25"/>
  <c r="D7" i="25"/>
  <c r="C7" i="25"/>
  <c r="J4" i="25"/>
  <c r="G4" i="25"/>
  <c r="L18" i="24"/>
  <c r="K18" i="24"/>
  <c r="J18" i="24"/>
  <c r="I18" i="24"/>
  <c r="H18" i="24"/>
  <c r="G18" i="24"/>
  <c r="F18" i="24"/>
  <c r="E18" i="24"/>
  <c r="D18" i="24"/>
  <c r="C18" i="24"/>
  <c r="L17" i="24"/>
  <c r="K17" i="24"/>
  <c r="J17" i="24"/>
  <c r="I17" i="24"/>
  <c r="H17" i="24"/>
  <c r="G17" i="24"/>
  <c r="F17" i="24"/>
  <c r="E17" i="24"/>
  <c r="D17" i="24"/>
  <c r="C17" i="24"/>
  <c r="L16" i="24"/>
  <c r="K16" i="24"/>
  <c r="J16" i="24"/>
  <c r="I16" i="24"/>
  <c r="H16" i="24"/>
  <c r="G16" i="24"/>
  <c r="F16" i="24"/>
  <c r="E16" i="24"/>
  <c r="D16" i="24"/>
  <c r="C16" i="24"/>
  <c r="N15" i="24"/>
  <c r="L15" i="24"/>
  <c r="K15" i="24"/>
  <c r="J15" i="24"/>
  <c r="I15" i="24"/>
  <c r="H15" i="24"/>
  <c r="G15" i="24"/>
  <c r="F15" i="24"/>
  <c r="E15" i="24"/>
  <c r="D15" i="24"/>
  <c r="C15" i="24"/>
  <c r="L14" i="24"/>
  <c r="K14" i="24"/>
  <c r="J14" i="24"/>
  <c r="I14" i="24"/>
  <c r="H14" i="24"/>
  <c r="G14" i="24"/>
  <c r="F14" i="24"/>
  <c r="E14" i="24"/>
  <c r="D14" i="24"/>
  <c r="C14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3" i="24"/>
  <c r="L12" i="24"/>
  <c r="K12" i="24"/>
  <c r="J12" i="24"/>
  <c r="I12" i="24"/>
  <c r="H12" i="24"/>
  <c r="G12" i="24"/>
  <c r="F12" i="24"/>
  <c r="E12" i="24"/>
  <c r="E19" i="24" s="1"/>
  <c r="D12" i="24"/>
  <c r="C12" i="24"/>
  <c r="L11" i="24"/>
  <c r="K11" i="24"/>
  <c r="J11" i="24"/>
  <c r="I11" i="24"/>
  <c r="H11" i="24"/>
  <c r="G11" i="24"/>
  <c r="F11" i="24"/>
  <c r="E11" i="24"/>
  <c r="D11" i="24"/>
  <c r="C11" i="24"/>
  <c r="L10" i="24"/>
  <c r="K10" i="24"/>
  <c r="J10" i="24"/>
  <c r="I10" i="24"/>
  <c r="H10" i="24"/>
  <c r="G10" i="24"/>
  <c r="F10" i="24"/>
  <c r="E10" i="24"/>
  <c r="D10" i="24"/>
  <c r="C10" i="24"/>
  <c r="L9" i="24"/>
  <c r="K9" i="24"/>
  <c r="J9" i="24"/>
  <c r="I9" i="24"/>
  <c r="H9" i="24"/>
  <c r="G9" i="24"/>
  <c r="F9" i="24"/>
  <c r="F19" i="24" s="1"/>
  <c r="E9" i="24"/>
  <c r="D9" i="24"/>
  <c r="C9" i="24"/>
  <c r="C19" i="24" s="1"/>
  <c r="L8" i="24"/>
  <c r="K8" i="24"/>
  <c r="J8" i="24"/>
  <c r="I8" i="24"/>
  <c r="H8" i="24"/>
  <c r="G8" i="24"/>
  <c r="F8" i="24"/>
  <c r="E8" i="24"/>
  <c r="D8" i="24"/>
  <c r="C8" i="24"/>
  <c r="L7" i="24"/>
  <c r="K7" i="24"/>
  <c r="J7" i="24"/>
  <c r="I7" i="24"/>
  <c r="H7" i="24"/>
  <c r="G7" i="24"/>
  <c r="F7" i="24"/>
  <c r="E7" i="24"/>
  <c r="D7" i="24"/>
  <c r="C7" i="24"/>
  <c r="J4" i="24"/>
  <c r="G4" i="24"/>
  <c r="I19" i="23"/>
  <c r="L18" i="23"/>
  <c r="K18" i="23"/>
  <c r="J18" i="23"/>
  <c r="I18" i="23"/>
  <c r="H18" i="23"/>
  <c r="G18" i="23"/>
  <c r="F18" i="23"/>
  <c r="E18" i="23"/>
  <c r="D18" i="23"/>
  <c r="C18" i="23"/>
  <c r="L17" i="23"/>
  <c r="K17" i="23"/>
  <c r="J17" i="23"/>
  <c r="I17" i="23"/>
  <c r="H17" i="23"/>
  <c r="G17" i="23"/>
  <c r="F17" i="23"/>
  <c r="E17" i="23"/>
  <c r="D17" i="23"/>
  <c r="C17" i="23"/>
  <c r="L16" i="23"/>
  <c r="K16" i="23"/>
  <c r="J16" i="23"/>
  <c r="I16" i="23"/>
  <c r="H16" i="23"/>
  <c r="G16" i="23"/>
  <c r="F16" i="23"/>
  <c r="E16" i="23"/>
  <c r="D16" i="23"/>
  <c r="C16" i="23"/>
  <c r="N15" i="23"/>
  <c r="L15" i="23"/>
  <c r="K15" i="23"/>
  <c r="J15" i="23"/>
  <c r="I15" i="23"/>
  <c r="H15" i="23"/>
  <c r="G15" i="23"/>
  <c r="F15" i="23"/>
  <c r="E15" i="23"/>
  <c r="D15" i="23"/>
  <c r="C15" i="23"/>
  <c r="L14" i="23"/>
  <c r="K14" i="23"/>
  <c r="J14" i="23"/>
  <c r="I14" i="23"/>
  <c r="H14" i="23"/>
  <c r="G14" i="23"/>
  <c r="F14" i="23"/>
  <c r="E14" i="23"/>
  <c r="D14" i="23"/>
  <c r="C14" i="23"/>
  <c r="L13" i="23"/>
  <c r="K13" i="23"/>
  <c r="J13" i="23"/>
  <c r="J19" i="23" s="1"/>
  <c r="I13" i="23"/>
  <c r="H13" i="23"/>
  <c r="G13" i="23"/>
  <c r="F13" i="23"/>
  <c r="E13" i="23"/>
  <c r="D13" i="23"/>
  <c r="C13" i="23"/>
  <c r="L12" i="23"/>
  <c r="K12" i="23"/>
  <c r="J12" i="23"/>
  <c r="I12" i="23"/>
  <c r="H12" i="23"/>
  <c r="G12" i="23"/>
  <c r="F12" i="23"/>
  <c r="E12" i="23"/>
  <c r="D12" i="23"/>
  <c r="C12" i="23"/>
  <c r="M11" i="23"/>
  <c r="L11" i="23"/>
  <c r="K11" i="23"/>
  <c r="K19" i="23" s="1"/>
  <c r="J11" i="23"/>
  <c r="I11" i="23"/>
  <c r="H11" i="23"/>
  <c r="G11" i="23"/>
  <c r="F11" i="23"/>
  <c r="E11" i="23"/>
  <c r="D11" i="23"/>
  <c r="C11" i="23"/>
  <c r="L10" i="23"/>
  <c r="K10" i="23"/>
  <c r="J10" i="23"/>
  <c r="I10" i="23"/>
  <c r="H10" i="23"/>
  <c r="G10" i="23"/>
  <c r="F10" i="23"/>
  <c r="E10" i="23"/>
  <c r="D10" i="23"/>
  <c r="C10" i="23"/>
  <c r="L9" i="23"/>
  <c r="K9" i="23"/>
  <c r="J9" i="23"/>
  <c r="I9" i="23"/>
  <c r="H9" i="23"/>
  <c r="G9" i="23"/>
  <c r="F9" i="23"/>
  <c r="E9" i="23"/>
  <c r="D9" i="23"/>
  <c r="C9" i="23"/>
  <c r="L8" i="23"/>
  <c r="K8" i="23"/>
  <c r="J8" i="23"/>
  <c r="I8" i="23"/>
  <c r="H8" i="23"/>
  <c r="G8" i="23"/>
  <c r="F8" i="23"/>
  <c r="E8" i="23"/>
  <c r="D8" i="23"/>
  <c r="C8" i="23"/>
  <c r="L7" i="23"/>
  <c r="K7" i="23"/>
  <c r="J7" i="23"/>
  <c r="I7" i="23"/>
  <c r="H7" i="23"/>
  <c r="G7" i="23"/>
  <c r="G19" i="23" s="1"/>
  <c r="F7" i="23"/>
  <c r="E7" i="23"/>
  <c r="E19" i="23" s="1"/>
  <c r="D7" i="23"/>
  <c r="C7" i="23"/>
  <c r="J4" i="23"/>
  <c r="G4" i="23"/>
  <c r="N19" i="22"/>
  <c r="L19" i="22"/>
  <c r="K19" i="22"/>
  <c r="J19" i="22"/>
  <c r="I19" i="22"/>
  <c r="C19" i="22"/>
  <c r="O18" i="22"/>
  <c r="J18" i="22"/>
  <c r="I18" i="22"/>
  <c r="G18" i="22"/>
  <c r="M18" i="22" s="1"/>
  <c r="D18" i="22"/>
  <c r="C18" i="22"/>
  <c r="J17" i="22"/>
  <c r="F17" i="22"/>
  <c r="E17" i="22"/>
  <c r="N16" i="22"/>
  <c r="L16" i="22"/>
  <c r="K16" i="22"/>
  <c r="J16" i="22"/>
  <c r="I16" i="22"/>
  <c r="M16" i="22" s="1"/>
  <c r="H16" i="22"/>
  <c r="L15" i="22"/>
  <c r="J15" i="22"/>
  <c r="H15" i="22"/>
  <c r="G15" i="22"/>
  <c r="F15" i="22"/>
  <c r="D15" i="22"/>
  <c r="C15" i="22"/>
  <c r="O14" i="22"/>
  <c r="K14" i="22"/>
  <c r="J14" i="22"/>
  <c r="H14" i="22"/>
  <c r="G14" i="22"/>
  <c r="M14" i="22" s="1"/>
  <c r="E14" i="22"/>
  <c r="N13" i="22"/>
  <c r="L13" i="22"/>
  <c r="J13" i="22"/>
  <c r="I13" i="22"/>
  <c r="H13" i="22"/>
  <c r="D13" i="22"/>
  <c r="N12" i="22"/>
  <c r="K12" i="22"/>
  <c r="J12" i="22"/>
  <c r="E12" i="22"/>
  <c r="D12" i="22"/>
  <c r="C12" i="22"/>
  <c r="N11" i="22"/>
  <c r="J11" i="22"/>
  <c r="D11" i="22"/>
  <c r="M10" i="22"/>
  <c r="L10" i="22"/>
  <c r="K10" i="22"/>
  <c r="J10" i="22"/>
  <c r="I10" i="22"/>
  <c r="H10" i="22"/>
  <c r="G10" i="22"/>
  <c r="J9" i="22"/>
  <c r="I9" i="22"/>
  <c r="N8" i="22"/>
  <c r="L8" i="22"/>
  <c r="L20" i="22" s="1"/>
  <c r="J8" i="22"/>
  <c r="F8" i="22"/>
  <c r="C8" i="22"/>
  <c r="J5" i="22"/>
  <c r="N20" i="21"/>
  <c r="L20" i="21"/>
  <c r="J20" i="21"/>
  <c r="L19" i="21"/>
  <c r="J19" i="21"/>
  <c r="F19" i="21"/>
  <c r="E19" i="21"/>
  <c r="D19" i="21"/>
  <c r="C19" i="21"/>
  <c r="M18" i="21"/>
  <c r="L18" i="21"/>
  <c r="J18" i="21"/>
  <c r="G18" i="21"/>
  <c r="F18" i="21"/>
  <c r="E18" i="21"/>
  <c r="D18" i="21"/>
  <c r="C18" i="21"/>
  <c r="L17" i="21"/>
  <c r="K17" i="21"/>
  <c r="J17" i="21"/>
  <c r="G17" i="21"/>
  <c r="M17" i="21" s="1"/>
  <c r="F17" i="21"/>
  <c r="E17" i="21"/>
  <c r="D17" i="21"/>
  <c r="C17" i="21"/>
  <c r="L16" i="21"/>
  <c r="J16" i="21"/>
  <c r="F16" i="21"/>
  <c r="E16" i="21"/>
  <c r="D16" i="21"/>
  <c r="C16" i="21"/>
  <c r="L15" i="21"/>
  <c r="J15" i="21"/>
  <c r="I15" i="21"/>
  <c r="F15" i="21"/>
  <c r="E15" i="21"/>
  <c r="D15" i="21"/>
  <c r="C15" i="21"/>
  <c r="L14" i="21"/>
  <c r="K14" i="21"/>
  <c r="J14" i="21"/>
  <c r="H14" i="21"/>
  <c r="F14" i="21"/>
  <c r="E14" i="21"/>
  <c r="D14" i="21"/>
  <c r="C14" i="21"/>
  <c r="L13" i="21"/>
  <c r="K13" i="21"/>
  <c r="J13" i="21"/>
  <c r="H13" i="21"/>
  <c r="F13" i="21"/>
  <c r="E13" i="21"/>
  <c r="D13" i="21"/>
  <c r="C13" i="21"/>
  <c r="M12" i="21"/>
  <c r="O12" i="21" s="1"/>
  <c r="L12" i="21"/>
  <c r="K12" i="21"/>
  <c r="J12" i="21"/>
  <c r="H12" i="21"/>
  <c r="F12" i="21"/>
  <c r="E12" i="21"/>
  <c r="D12" i="21"/>
  <c r="C12" i="21"/>
  <c r="L11" i="21"/>
  <c r="J11" i="21"/>
  <c r="I11" i="21"/>
  <c r="H11" i="21"/>
  <c r="F11" i="21"/>
  <c r="E11" i="21"/>
  <c r="D11" i="21"/>
  <c r="C11" i="21"/>
  <c r="N10" i="21"/>
  <c r="L10" i="21"/>
  <c r="K10" i="21"/>
  <c r="J10" i="21"/>
  <c r="F10" i="21"/>
  <c r="E10" i="21"/>
  <c r="D10" i="21"/>
  <c r="C10" i="21"/>
  <c r="L9" i="21"/>
  <c r="K9" i="21"/>
  <c r="M9" i="21" s="1"/>
  <c r="J9" i="21"/>
  <c r="G9" i="21"/>
  <c r="F9" i="21"/>
  <c r="E9" i="21"/>
  <c r="D9" i="21"/>
  <c r="C9" i="21"/>
  <c r="L8" i="21"/>
  <c r="J8" i="21"/>
  <c r="F8" i="21"/>
  <c r="E8" i="21"/>
  <c r="D8" i="21"/>
  <c r="C8" i="21"/>
  <c r="J5" i="21"/>
  <c r="G5" i="21"/>
  <c r="J20" i="20"/>
  <c r="H20" i="20"/>
  <c r="K19" i="20"/>
  <c r="I19" i="20"/>
  <c r="G19" i="20"/>
  <c r="M19" i="20" s="1"/>
  <c r="E19" i="20"/>
  <c r="D19" i="20"/>
  <c r="F18" i="20"/>
  <c r="C18" i="20"/>
  <c r="K17" i="20"/>
  <c r="F17" i="20"/>
  <c r="F16" i="20"/>
  <c r="D15" i="20"/>
  <c r="C15" i="20"/>
  <c r="K14" i="20"/>
  <c r="E14" i="20"/>
  <c r="C14" i="20"/>
  <c r="I13" i="20"/>
  <c r="G13" i="20"/>
  <c r="F13" i="20"/>
  <c r="E13" i="20"/>
  <c r="D13" i="20"/>
  <c r="K11" i="20"/>
  <c r="K10" i="20"/>
  <c r="F10" i="20"/>
  <c r="E10" i="20"/>
  <c r="E9" i="20"/>
  <c r="C9" i="20"/>
  <c r="F8" i="20"/>
  <c r="C8" i="20"/>
  <c r="J5" i="20"/>
  <c r="L18" i="19"/>
  <c r="K18" i="19"/>
  <c r="J18" i="19"/>
  <c r="I18" i="19"/>
  <c r="H18" i="19"/>
  <c r="G18" i="19"/>
  <c r="F18" i="19"/>
  <c r="E18" i="19"/>
  <c r="D18" i="19"/>
  <c r="C18" i="19"/>
  <c r="L17" i="19"/>
  <c r="L19" i="19" s="1"/>
  <c r="K17" i="19"/>
  <c r="J17" i="19"/>
  <c r="I17" i="19"/>
  <c r="H17" i="19"/>
  <c r="G17" i="19"/>
  <c r="F17" i="19"/>
  <c r="E17" i="19"/>
  <c r="D17" i="19"/>
  <c r="C17" i="19"/>
  <c r="L16" i="19"/>
  <c r="K16" i="19"/>
  <c r="J16" i="19"/>
  <c r="I16" i="19"/>
  <c r="H16" i="19"/>
  <c r="G16" i="19"/>
  <c r="F16" i="19"/>
  <c r="E16" i="19"/>
  <c r="D16" i="19"/>
  <c r="C16" i="19"/>
  <c r="N15" i="19"/>
  <c r="L15" i="19"/>
  <c r="K15" i="19"/>
  <c r="J15" i="19"/>
  <c r="I15" i="19"/>
  <c r="H15" i="19"/>
  <c r="G15" i="19"/>
  <c r="F15" i="19"/>
  <c r="E15" i="19"/>
  <c r="D15" i="19"/>
  <c r="C15" i="19"/>
  <c r="N14" i="19"/>
  <c r="L14" i="19"/>
  <c r="K14" i="19"/>
  <c r="J14" i="19"/>
  <c r="I14" i="19"/>
  <c r="H14" i="19"/>
  <c r="G14" i="19"/>
  <c r="F14" i="19"/>
  <c r="E14" i="19"/>
  <c r="D14" i="19"/>
  <c r="C14" i="19"/>
  <c r="M13" i="19"/>
  <c r="L13" i="19"/>
  <c r="K13" i="19"/>
  <c r="J13" i="19"/>
  <c r="I13" i="19"/>
  <c r="H13" i="19"/>
  <c r="G13" i="19"/>
  <c r="F13" i="19"/>
  <c r="E13" i="19"/>
  <c r="D13" i="19"/>
  <c r="C13" i="19"/>
  <c r="L12" i="19"/>
  <c r="K12" i="19"/>
  <c r="J12" i="19"/>
  <c r="I12" i="19"/>
  <c r="H12" i="19"/>
  <c r="G12" i="19"/>
  <c r="F12" i="19"/>
  <c r="E12" i="19"/>
  <c r="D12" i="19"/>
  <c r="C12" i="19"/>
  <c r="N11" i="19"/>
  <c r="M11" i="19"/>
  <c r="L11" i="19"/>
  <c r="K11" i="19"/>
  <c r="J11" i="19"/>
  <c r="I11" i="19"/>
  <c r="H11" i="19"/>
  <c r="G11" i="19"/>
  <c r="F11" i="19"/>
  <c r="E11" i="19"/>
  <c r="D11" i="19"/>
  <c r="C11" i="19"/>
  <c r="L10" i="19"/>
  <c r="K10" i="19"/>
  <c r="J10" i="19"/>
  <c r="I10" i="19"/>
  <c r="H10" i="19"/>
  <c r="G10" i="19"/>
  <c r="F10" i="19"/>
  <c r="E10" i="19"/>
  <c r="D10" i="19"/>
  <c r="C10" i="19"/>
  <c r="L9" i="19"/>
  <c r="K9" i="19"/>
  <c r="J9" i="19"/>
  <c r="I9" i="19"/>
  <c r="H9" i="19"/>
  <c r="G9" i="19"/>
  <c r="F9" i="19"/>
  <c r="E9" i="19"/>
  <c r="D9" i="19"/>
  <c r="C9" i="19"/>
  <c r="L8" i="19"/>
  <c r="K8" i="19"/>
  <c r="J8" i="19"/>
  <c r="I8" i="19"/>
  <c r="H8" i="19"/>
  <c r="G8" i="19"/>
  <c r="F8" i="19"/>
  <c r="E8" i="19"/>
  <c r="D8" i="19"/>
  <c r="C8" i="19"/>
  <c r="L7" i="19"/>
  <c r="K7" i="19"/>
  <c r="K19" i="19" s="1"/>
  <c r="J7" i="19"/>
  <c r="J19" i="19" s="1"/>
  <c r="I7" i="19"/>
  <c r="H7" i="19"/>
  <c r="G7" i="19"/>
  <c r="F7" i="19"/>
  <c r="E7" i="19"/>
  <c r="D7" i="19"/>
  <c r="C7" i="19"/>
  <c r="J4" i="19"/>
  <c r="G4" i="19"/>
  <c r="I20" i="18"/>
  <c r="L19" i="18"/>
  <c r="K19" i="18"/>
  <c r="J19" i="18"/>
  <c r="I19" i="18"/>
  <c r="H19" i="18"/>
  <c r="G19" i="18"/>
  <c r="F19" i="18"/>
  <c r="E19" i="18"/>
  <c r="D19" i="18"/>
  <c r="C19" i="18"/>
  <c r="L18" i="18"/>
  <c r="K18" i="18"/>
  <c r="J18" i="18"/>
  <c r="I18" i="18"/>
  <c r="H18" i="18"/>
  <c r="G18" i="18"/>
  <c r="F18" i="18"/>
  <c r="E18" i="18"/>
  <c r="D18" i="18"/>
  <c r="C18" i="18"/>
  <c r="L17" i="18"/>
  <c r="K17" i="18"/>
  <c r="J17" i="18"/>
  <c r="I17" i="18"/>
  <c r="H17" i="18"/>
  <c r="G17" i="18"/>
  <c r="F17" i="18"/>
  <c r="E17" i="18"/>
  <c r="D17" i="18"/>
  <c r="C17" i="18"/>
  <c r="N16" i="18"/>
  <c r="L16" i="18"/>
  <c r="K16" i="18"/>
  <c r="J16" i="18"/>
  <c r="I16" i="18"/>
  <c r="H16" i="18"/>
  <c r="G16" i="18"/>
  <c r="F16" i="18"/>
  <c r="E16" i="18"/>
  <c r="D16" i="18"/>
  <c r="C16" i="18"/>
  <c r="L15" i="18"/>
  <c r="L20" i="18" s="1"/>
  <c r="K15" i="18"/>
  <c r="J15" i="18"/>
  <c r="I15" i="18"/>
  <c r="H15" i="18"/>
  <c r="G15" i="18"/>
  <c r="F15" i="18"/>
  <c r="E15" i="18"/>
  <c r="D15" i="18"/>
  <c r="C15" i="18"/>
  <c r="L14" i="18"/>
  <c r="K14" i="18"/>
  <c r="J14" i="18"/>
  <c r="I14" i="18"/>
  <c r="H14" i="18"/>
  <c r="G14" i="18"/>
  <c r="F14" i="18"/>
  <c r="E14" i="18"/>
  <c r="D14" i="18"/>
  <c r="C14" i="18"/>
  <c r="M13" i="18"/>
  <c r="L13" i="18"/>
  <c r="K13" i="18"/>
  <c r="J13" i="18"/>
  <c r="I13" i="18"/>
  <c r="H13" i="18"/>
  <c r="G13" i="18"/>
  <c r="F13" i="18"/>
  <c r="E13" i="18"/>
  <c r="D13" i="18"/>
  <c r="C13" i="18"/>
  <c r="L12" i="18"/>
  <c r="K12" i="18"/>
  <c r="J12" i="18"/>
  <c r="I12" i="18"/>
  <c r="H12" i="18"/>
  <c r="G12" i="18"/>
  <c r="F12" i="18"/>
  <c r="E12" i="18"/>
  <c r="D12" i="18"/>
  <c r="C12" i="18"/>
  <c r="M11" i="18"/>
  <c r="L11" i="18"/>
  <c r="K11" i="18"/>
  <c r="J11" i="18"/>
  <c r="I11" i="18"/>
  <c r="H11" i="18"/>
  <c r="G11" i="18"/>
  <c r="F11" i="18"/>
  <c r="E11" i="18"/>
  <c r="D11" i="18"/>
  <c r="C11" i="18"/>
  <c r="M10" i="18"/>
  <c r="L10" i="18"/>
  <c r="K10" i="18"/>
  <c r="J10" i="18"/>
  <c r="I10" i="18"/>
  <c r="H10" i="18"/>
  <c r="G10" i="18"/>
  <c r="F10" i="18"/>
  <c r="E10" i="18"/>
  <c r="D10" i="18"/>
  <c r="C10" i="18"/>
  <c r="L9" i="18"/>
  <c r="K9" i="18"/>
  <c r="J9" i="18"/>
  <c r="I9" i="18"/>
  <c r="H9" i="18"/>
  <c r="G9" i="18"/>
  <c r="F9" i="18"/>
  <c r="E9" i="18"/>
  <c r="D9" i="18"/>
  <c r="C9" i="18"/>
  <c r="L8" i="18"/>
  <c r="K8" i="18"/>
  <c r="J8" i="18"/>
  <c r="I8" i="18"/>
  <c r="H8" i="18"/>
  <c r="H20" i="18" s="1"/>
  <c r="G8" i="18"/>
  <c r="F8" i="18"/>
  <c r="E8" i="18"/>
  <c r="D8" i="18"/>
  <c r="C8" i="18"/>
  <c r="J5" i="18"/>
  <c r="G5" i="18"/>
  <c r="N19" i="17"/>
  <c r="L19" i="17"/>
  <c r="K19" i="17"/>
  <c r="J19" i="17"/>
  <c r="I19" i="17"/>
  <c r="H19" i="17"/>
  <c r="G19" i="17"/>
  <c r="F19" i="17"/>
  <c r="E19" i="17"/>
  <c r="D19" i="17"/>
  <c r="C19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N16" i="17"/>
  <c r="L16" i="17"/>
  <c r="K16" i="17"/>
  <c r="J16" i="17"/>
  <c r="I16" i="17"/>
  <c r="H16" i="17"/>
  <c r="G16" i="17"/>
  <c r="F16" i="17"/>
  <c r="E16" i="17"/>
  <c r="D16" i="17"/>
  <c r="C16" i="17"/>
  <c r="O15" i="17"/>
  <c r="N15" i="17"/>
  <c r="L15" i="17"/>
  <c r="K15" i="17"/>
  <c r="J15" i="17"/>
  <c r="I15" i="17"/>
  <c r="H15" i="17"/>
  <c r="G15" i="17"/>
  <c r="F15" i="17"/>
  <c r="E15" i="17"/>
  <c r="D15" i="17"/>
  <c r="C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N13" i="17"/>
  <c r="L13" i="17"/>
  <c r="K13" i="17"/>
  <c r="J13" i="17"/>
  <c r="I13" i="17"/>
  <c r="H13" i="17"/>
  <c r="G13" i="17"/>
  <c r="F13" i="17"/>
  <c r="E13" i="17"/>
  <c r="D13" i="17"/>
  <c r="C13" i="17"/>
  <c r="N12" i="17"/>
  <c r="L12" i="17"/>
  <c r="K12" i="17"/>
  <c r="J12" i="17"/>
  <c r="I12" i="17"/>
  <c r="H12" i="17"/>
  <c r="G12" i="17"/>
  <c r="F12" i="17"/>
  <c r="E12" i="17"/>
  <c r="D12" i="17"/>
  <c r="C12" i="17"/>
  <c r="N11" i="17"/>
  <c r="L11" i="17"/>
  <c r="K11" i="17"/>
  <c r="J11" i="17"/>
  <c r="I11" i="17"/>
  <c r="H11" i="17"/>
  <c r="G11" i="17"/>
  <c r="F11" i="17"/>
  <c r="E11" i="17"/>
  <c r="D11" i="17"/>
  <c r="C11" i="17"/>
  <c r="N10" i="17"/>
  <c r="L10" i="17"/>
  <c r="K10" i="17"/>
  <c r="J10" i="17"/>
  <c r="I10" i="17"/>
  <c r="H10" i="17"/>
  <c r="G10" i="17"/>
  <c r="F10" i="17"/>
  <c r="E10" i="17"/>
  <c r="D10" i="17"/>
  <c r="C10" i="17"/>
  <c r="N9" i="17"/>
  <c r="L9" i="17"/>
  <c r="K9" i="17"/>
  <c r="J9" i="17"/>
  <c r="I9" i="17"/>
  <c r="H9" i="17"/>
  <c r="G9" i="17"/>
  <c r="F9" i="17"/>
  <c r="E9" i="17"/>
  <c r="D9" i="17"/>
  <c r="C9" i="17"/>
  <c r="N8" i="17"/>
  <c r="M8" i="17"/>
  <c r="L8" i="17"/>
  <c r="K8" i="17"/>
  <c r="J8" i="17"/>
  <c r="I8" i="17"/>
  <c r="H8" i="17"/>
  <c r="G8" i="17"/>
  <c r="F8" i="17"/>
  <c r="E8" i="17"/>
  <c r="D8" i="17"/>
  <c r="C8" i="17"/>
  <c r="J5" i="17"/>
  <c r="G5" i="17"/>
  <c r="M19" i="16"/>
  <c r="L19" i="16"/>
  <c r="K19" i="16"/>
  <c r="J19" i="16"/>
  <c r="I19" i="16"/>
  <c r="I20" i="16" s="1"/>
  <c r="H19" i="16"/>
  <c r="G19" i="16"/>
  <c r="F19" i="16"/>
  <c r="E19" i="16"/>
  <c r="D19" i="16"/>
  <c r="C19" i="16"/>
  <c r="M18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F16" i="16"/>
  <c r="E16" i="16"/>
  <c r="D16" i="16"/>
  <c r="C16" i="16"/>
  <c r="L15" i="16"/>
  <c r="K15" i="16"/>
  <c r="J15" i="16"/>
  <c r="I15" i="16"/>
  <c r="H15" i="16"/>
  <c r="G15" i="16"/>
  <c r="F15" i="16"/>
  <c r="E15" i="16"/>
  <c r="D15" i="16"/>
  <c r="C15" i="16"/>
  <c r="L14" i="16"/>
  <c r="K14" i="16"/>
  <c r="J14" i="16"/>
  <c r="I14" i="16"/>
  <c r="H14" i="16"/>
  <c r="G14" i="16"/>
  <c r="F14" i="16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N11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C9" i="16"/>
  <c r="L8" i="16"/>
  <c r="K8" i="16"/>
  <c r="J8" i="16"/>
  <c r="I8" i="16"/>
  <c r="H8" i="16"/>
  <c r="G8" i="16"/>
  <c r="G20" i="16" s="1"/>
  <c r="F8" i="16"/>
  <c r="E8" i="16"/>
  <c r="D8" i="16"/>
  <c r="C8" i="16"/>
  <c r="J5" i="16"/>
  <c r="G5" i="16"/>
  <c r="L20" i="15"/>
  <c r="N19" i="15"/>
  <c r="L19" i="15"/>
  <c r="K19" i="15"/>
  <c r="J19" i="15"/>
  <c r="I19" i="15"/>
  <c r="H19" i="15"/>
  <c r="H19" i="22" s="1"/>
  <c r="G19" i="15"/>
  <c r="G19" i="22" s="1"/>
  <c r="M19" i="22" s="1"/>
  <c r="F19" i="15"/>
  <c r="F19" i="22" s="1"/>
  <c r="E19" i="15"/>
  <c r="E19" i="22" s="1"/>
  <c r="D19" i="15"/>
  <c r="D19" i="22" s="1"/>
  <c r="C19" i="15"/>
  <c r="N18" i="15"/>
  <c r="N18" i="22" s="1"/>
  <c r="L18" i="15"/>
  <c r="L18" i="22" s="1"/>
  <c r="K18" i="15"/>
  <c r="K18" i="22" s="1"/>
  <c r="J18" i="15"/>
  <c r="I18" i="15"/>
  <c r="H18" i="15"/>
  <c r="H18" i="22" s="1"/>
  <c r="G18" i="15"/>
  <c r="F18" i="15"/>
  <c r="F18" i="22" s="1"/>
  <c r="E18" i="15"/>
  <c r="E18" i="22" s="1"/>
  <c r="D18" i="15"/>
  <c r="C18" i="15"/>
  <c r="N17" i="15"/>
  <c r="N17" i="22" s="1"/>
  <c r="L17" i="15"/>
  <c r="L17" i="22" s="1"/>
  <c r="K17" i="15"/>
  <c r="K17" i="22" s="1"/>
  <c r="J17" i="15"/>
  <c r="I17" i="15"/>
  <c r="I17" i="22" s="1"/>
  <c r="H17" i="15"/>
  <c r="H17" i="22" s="1"/>
  <c r="G17" i="15"/>
  <c r="G17" i="22" s="1"/>
  <c r="F17" i="15"/>
  <c r="E17" i="15"/>
  <c r="D17" i="15"/>
  <c r="D17" i="22" s="1"/>
  <c r="C17" i="15"/>
  <c r="C17" i="22" s="1"/>
  <c r="N16" i="15"/>
  <c r="M16" i="15"/>
  <c r="L16" i="15"/>
  <c r="K16" i="15"/>
  <c r="J16" i="15"/>
  <c r="I16" i="15"/>
  <c r="H16" i="15"/>
  <c r="G16" i="15"/>
  <c r="G16" i="22" s="1"/>
  <c r="F16" i="15"/>
  <c r="F16" i="22" s="1"/>
  <c r="E16" i="15"/>
  <c r="E16" i="22" s="1"/>
  <c r="D16" i="15"/>
  <c r="D16" i="22" s="1"/>
  <c r="C16" i="15"/>
  <c r="C16" i="22" s="1"/>
  <c r="N15" i="15"/>
  <c r="N15" i="22" s="1"/>
  <c r="L15" i="15"/>
  <c r="K15" i="15"/>
  <c r="K15" i="22" s="1"/>
  <c r="J15" i="15"/>
  <c r="I15" i="15"/>
  <c r="I15" i="22" s="1"/>
  <c r="H15" i="15"/>
  <c r="G15" i="15"/>
  <c r="F15" i="15"/>
  <c r="E15" i="15"/>
  <c r="E15" i="22" s="1"/>
  <c r="D15" i="15"/>
  <c r="C15" i="15"/>
  <c r="N14" i="15"/>
  <c r="N14" i="22" s="1"/>
  <c r="L14" i="15"/>
  <c r="L14" i="22" s="1"/>
  <c r="K14" i="15"/>
  <c r="J14" i="15"/>
  <c r="I14" i="15"/>
  <c r="I14" i="22" s="1"/>
  <c r="H14" i="15"/>
  <c r="G14" i="15"/>
  <c r="F14" i="15"/>
  <c r="F14" i="22" s="1"/>
  <c r="E14" i="15"/>
  <c r="D14" i="15"/>
  <c r="D14" i="22" s="1"/>
  <c r="C14" i="15"/>
  <c r="C14" i="22" s="1"/>
  <c r="N13" i="15"/>
  <c r="L13" i="15"/>
  <c r="K13" i="15"/>
  <c r="K13" i="22" s="1"/>
  <c r="J13" i="15"/>
  <c r="I13" i="15"/>
  <c r="H13" i="15"/>
  <c r="G13" i="15"/>
  <c r="G13" i="22" s="1"/>
  <c r="M13" i="22" s="1"/>
  <c r="F13" i="15"/>
  <c r="F13" i="22" s="1"/>
  <c r="E13" i="15"/>
  <c r="E13" i="22" s="1"/>
  <c r="D13" i="15"/>
  <c r="C13" i="15"/>
  <c r="C13" i="22" s="1"/>
  <c r="N12" i="15"/>
  <c r="L12" i="15"/>
  <c r="L12" i="22" s="1"/>
  <c r="K12" i="15"/>
  <c r="J12" i="15"/>
  <c r="I12" i="15"/>
  <c r="I12" i="22" s="1"/>
  <c r="H12" i="15"/>
  <c r="H12" i="22" s="1"/>
  <c r="G12" i="15"/>
  <c r="G12" i="22" s="1"/>
  <c r="M12" i="22" s="1"/>
  <c r="F12" i="15"/>
  <c r="F12" i="22" s="1"/>
  <c r="E12" i="15"/>
  <c r="D12" i="15"/>
  <c r="C12" i="15"/>
  <c r="N11" i="15"/>
  <c r="L11" i="15"/>
  <c r="L11" i="22" s="1"/>
  <c r="K11" i="15"/>
  <c r="K11" i="22" s="1"/>
  <c r="M11" i="22" s="1"/>
  <c r="O11" i="22" s="1"/>
  <c r="J11" i="15"/>
  <c r="J20" i="15" s="1"/>
  <c r="I11" i="15"/>
  <c r="I11" i="22" s="1"/>
  <c r="H11" i="15"/>
  <c r="H11" i="22" s="1"/>
  <c r="G11" i="15"/>
  <c r="G11" i="22" s="1"/>
  <c r="F11" i="15"/>
  <c r="F11" i="22" s="1"/>
  <c r="E11" i="15"/>
  <c r="E11" i="22" s="1"/>
  <c r="D11" i="15"/>
  <c r="C11" i="15"/>
  <c r="C11" i="22" s="1"/>
  <c r="N10" i="15"/>
  <c r="N10" i="22" s="1"/>
  <c r="L10" i="15"/>
  <c r="K10" i="15"/>
  <c r="J10" i="15"/>
  <c r="I10" i="15"/>
  <c r="H10" i="15"/>
  <c r="G10" i="15"/>
  <c r="F10" i="15"/>
  <c r="F10" i="22" s="1"/>
  <c r="E10" i="15"/>
  <c r="E10" i="22" s="1"/>
  <c r="D10" i="15"/>
  <c r="D10" i="22" s="1"/>
  <c r="C10" i="15"/>
  <c r="N9" i="15"/>
  <c r="N9" i="22" s="1"/>
  <c r="L9" i="15"/>
  <c r="L9" i="22" s="1"/>
  <c r="K9" i="15"/>
  <c r="K9" i="22" s="1"/>
  <c r="J9" i="15"/>
  <c r="I9" i="15"/>
  <c r="H9" i="15"/>
  <c r="H9" i="22" s="1"/>
  <c r="G9" i="15"/>
  <c r="G9" i="22" s="1"/>
  <c r="M9" i="22" s="1"/>
  <c r="F9" i="15"/>
  <c r="F9" i="22" s="1"/>
  <c r="E9" i="15"/>
  <c r="E9" i="22" s="1"/>
  <c r="D9" i="15"/>
  <c r="C9" i="15"/>
  <c r="C9" i="22" s="1"/>
  <c r="N8" i="15"/>
  <c r="L8" i="15"/>
  <c r="K8" i="15"/>
  <c r="K8" i="22" s="1"/>
  <c r="J8" i="15"/>
  <c r="I8" i="15"/>
  <c r="H8" i="15"/>
  <c r="G8" i="15"/>
  <c r="G8" i="22" s="1"/>
  <c r="F8" i="15"/>
  <c r="E8" i="15"/>
  <c r="D8" i="15"/>
  <c r="D8" i="22" s="1"/>
  <c r="C8" i="15"/>
  <c r="J5" i="15"/>
  <c r="G5" i="15"/>
  <c r="G5" i="22" s="1"/>
  <c r="AB26" i="14"/>
  <c r="C20" i="14"/>
  <c r="AE19" i="14"/>
  <c r="AC19" i="14"/>
  <c r="Y19" i="14"/>
  <c r="W19" i="14"/>
  <c r="V19" i="14"/>
  <c r="N19" i="14"/>
  <c r="M19" i="14"/>
  <c r="L19" i="14"/>
  <c r="K19" i="14"/>
  <c r="AB19" i="14" s="1"/>
  <c r="J19" i="14"/>
  <c r="AA19" i="14" s="1"/>
  <c r="I19" i="14"/>
  <c r="Z19" i="14" s="1"/>
  <c r="H19" i="14"/>
  <c r="G19" i="14"/>
  <c r="X19" i="14" s="1"/>
  <c r="F19" i="14"/>
  <c r="E19" i="14"/>
  <c r="D19" i="14"/>
  <c r="U19" i="14" s="1"/>
  <c r="C19" i="14"/>
  <c r="T19" i="14" s="1"/>
  <c r="AE18" i="14"/>
  <c r="AF18" i="14" s="1"/>
  <c r="AC18" i="14"/>
  <c r="Y18" i="14"/>
  <c r="X18" i="14"/>
  <c r="AD18" i="14" s="1"/>
  <c r="W18" i="14"/>
  <c r="V18" i="14"/>
  <c r="U18" i="14"/>
  <c r="T18" i="14"/>
  <c r="N18" i="14"/>
  <c r="L18" i="14"/>
  <c r="K18" i="14"/>
  <c r="AB18" i="14" s="1"/>
  <c r="J18" i="14"/>
  <c r="AA18" i="14" s="1"/>
  <c r="I18" i="14"/>
  <c r="Z18" i="14" s="1"/>
  <c r="H18" i="14"/>
  <c r="G18" i="14"/>
  <c r="F18" i="14"/>
  <c r="E18" i="14"/>
  <c r="D18" i="14"/>
  <c r="C18" i="14"/>
  <c r="AE17" i="14"/>
  <c r="AC17" i="14"/>
  <c r="AB17" i="14"/>
  <c r="AA17" i="14"/>
  <c r="Z17" i="14"/>
  <c r="Y17" i="14"/>
  <c r="X17" i="14"/>
  <c r="AD17" i="14" s="1"/>
  <c r="U17" i="14"/>
  <c r="N17" i="14"/>
  <c r="L17" i="14"/>
  <c r="K17" i="14"/>
  <c r="J17" i="14"/>
  <c r="I17" i="14"/>
  <c r="H17" i="14"/>
  <c r="G17" i="14"/>
  <c r="F17" i="14"/>
  <c r="W17" i="14" s="1"/>
  <c r="E17" i="14"/>
  <c r="V17" i="14" s="1"/>
  <c r="D17" i="14"/>
  <c r="C17" i="14"/>
  <c r="T17" i="14" s="1"/>
  <c r="AE16" i="14"/>
  <c r="AA16" i="14"/>
  <c r="X16" i="14"/>
  <c r="AD16" i="14" s="1"/>
  <c r="U16" i="14"/>
  <c r="T16" i="14"/>
  <c r="N16" i="14"/>
  <c r="M16" i="14"/>
  <c r="L16" i="14"/>
  <c r="AC16" i="14" s="1"/>
  <c r="K16" i="14"/>
  <c r="AB16" i="14" s="1"/>
  <c r="J16" i="14"/>
  <c r="I16" i="14"/>
  <c r="Z16" i="14" s="1"/>
  <c r="H16" i="14"/>
  <c r="Y16" i="14" s="1"/>
  <c r="G16" i="14"/>
  <c r="F16" i="14"/>
  <c r="W16" i="14" s="1"/>
  <c r="E16" i="14"/>
  <c r="V16" i="14" s="1"/>
  <c r="D16" i="14"/>
  <c r="C16" i="14"/>
  <c r="AE15" i="14"/>
  <c r="AC15" i="14"/>
  <c r="AA15" i="14"/>
  <c r="Z15" i="14"/>
  <c r="AD15" i="14" s="1"/>
  <c r="AF15" i="14" s="1"/>
  <c r="W15" i="14"/>
  <c r="U15" i="14"/>
  <c r="T15" i="14"/>
  <c r="N15" i="14"/>
  <c r="L15" i="14"/>
  <c r="K15" i="14"/>
  <c r="AB15" i="14" s="1"/>
  <c r="J15" i="14"/>
  <c r="I15" i="14"/>
  <c r="H15" i="14"/>
  <c r="Y15" i="14" s="1"/>
  <c r="G15" i="14"/>
  <c r="X15" i="14" s="1"/>
  <c r="F15" i="14"/>
  <c r="E15" i="14"/>
  <c r="V15" i="14" s="1"/>
  <c r="D15" i="14"/>
  <c r="C15" i="14"/>
  <c r="AE14" i="14"/>
  <c r="AC14" i="14"/>
  <c r="AB14" i="14"/>
  <c r="AA14" i="14"/>
  <c r="Z14" i="14"/>
  <c r="Y14" i="14"/>
  <c r="X14" i="14"/>
  <c r="AD14" i="14" s="1"/>
  <c r="AF14" i="14" s="1"/>
  <c r="W14" i="14"/>
  <c r="N14" i="14"/>
  <c r="L14" i="14"/>
  <c r="K14" i="14"/>
  <c r="J14" i="14"/>
  <c r="I14" i="14"/>
  <c r="H14" i="14"/>
  <c r="G14" i="14"/>
  <c r="F14" i="14"/>
  <c r="E14" i="14"/>
  <c r="V14" i="14" s="1"/>
  <c r="D14" i="14"/>
  <c r="U14" i="14" s="1"/>
  <c r="C14" i="14"/>
  <c r="T14" i="14" s="1"/>
  <c r="AE13" i="14"/>
  <c r="AD13" i="14"/>
  <c r="AF13" i="14" s="1"/>
  <c r="AC13" i="14"/>
  <c r="AB13" i="14"/>
  <c r="Y13" i="14"/>
  <c r="V13" i="14"/>
  <c r="N13" i="14"/>
  <c r="L13" i="14"/>
  <c r="K13" i="14"/>
  <c r="J13" i="14"/>
  <c r="AA13" i="14" s="1"/>
  <c r="I13" i="14"/>
  <c r="Z13" i="14" s="1"/>
  <c r="H13" i="14"/>
  <c r="G13" i="14"/>
  <c r="X13" i="14" s="1"/>
  <c r="F13" i="14"/>
  <c r="W13" i="14" s="1"/>
  <c r="E13" i="14"/>
  <c r="D13" i="14"/>
  <c r="U13" i="14" s="1"/>
  <c r="C13" i="14"/>
  <c r="T13" i="14" s="1"/>
  <c r="AE12" i="14"/>
  <c r="AB12" i="14"/>
  <c r="Y12" i="14"/>
  <c r="X12" i="14"/>
  <c r="AD12" i="14" s="1"/>
  <c r="U12" i="14"/>
  <c r="N12" i="14"/>
  <c r="L12" i="14"/>
  <c r="AC12" i="14" s="1"/>
  <c r="K12" i="14"/>
  <c r="J12" i="14"/>
  <c r="AA12" i="14" s="1"/>
  <c r="I12" i="14"/>
  <c r="Z12" i="14" s="1"/>
  <c r="H12" i="14"/>
  <c r="G12" i="14"/>
  <c r="F12" i="14"/>
  <c r="W12" i="14" s="1"/>
  <c r="E12" i="14"/>
  <c r="V12" i="14" s="1"/>
  <c r="D12" i="14"/>
  <c r="C12" i="14"/>
  <c r="T12" i="14" s="1"/>
  <c r="AE11" i="14"/>
  <c r="Y11" i="14"/>
  <c r="W11" i="14"/>
  <c r="V11" i="14"/>
  <c r="U11" i="14"/>
  <c r="N11" i="14"/>
  <c r="L11" i="14"/>
  <c r="AC11" i="14" s="1"/>
  <c r="K11" i="14"/>
  <c r="AB11" i="14" s="1"/>
  <c r="J11" i="14"/>
  <c r="AA11" i="14" s="1"/>
  <c r="I11" i="14"/>
  <c r="Z11" i="14" s="1"/>
  <c r="AD11" i="14" s="1"/>
  <c r="H11" i="14"/>
  <c r="G11" i="14"/>
  <c r="X11" i="14" s="1"/>
  <c r="F11" i="14"/>
  <c r="E11" i="14"/>
  <c r="D11" i="14"/>
  <c r="C11" i="14"/>
  <c r="T11" i="14" s="1"/>
  <c r="AE10" i="14"/>
  <c r="AB10" i="14"/>
  <c r="AA10" i="14"/>
  <c r="T10" i="14"/>
  <c r="N10" i="14"/>
  <c r="M10" i="14"/>
  <c r="L10" i="14"/>
  <c r="AC10" i="14" s="1"/>
  <c r="K10" i="14"/>
  <c r="J10" i="14"/>
  <c r="I10" i="14"/>
  <c r="Z10" i="14" s="1"/>
  <c r="H10" i="14"/>
  <c r="Y10" i="14" s="1"/>
  <c r="G10" i="14"/>
  <c r="X10" i="14" s="1"/>
  <c r="AD10" i="14" s="1"/>
  <c r="F10" i="14"/>
  <c r="E10" i="14"/>
  <c r="V10" i="14" s="1"/>
  <c r="D10" i="14"/>
  <c r="U10" i="14" s="1"/>
  <c r="C10" i="14"/>
  <c r="AE9" i="14"/>
  <c r="AC9" i="14"/>
  <c r="W9" i="14"/>
  <c r="N9" i="14"/>
  <c r="L9" i="14"/>
  <c r="K9" i="14"/>
  <c r="AB9" i="14" s="1"/>
  <c r="J9" i="14"/>
  <c r="AA9" i="14" s="1"/>
  <c r="I9" i="14"/>
  <c r="H9" i="14"/>
  <c r="Y9" i="14" s="1"/>
  <c r="G9" i="14"/>
  <c r="X9" i="14" s="1"/>
  <c r="F9" i="14"/>
  <c r="E9" i="14"/>
  <c r="V9" i="14" s="1"/>
  <c r="D9" i="14"/>
  <c r="U9" i="14" s="1"/>
  <c r="C9" i="14"/>
  <c r="T9" i="14" s="1"/>
  <c r="AE8" i="14"/>
  <c r="AC8" i="14"/>
  <c r="W8" i="14"/>
  <c r="T8" i="14"/>
  <c r="N8" i="14"/>
  <c r="N20" i="14" s="1"/>
  <c r="N26" i="14" s="1"/>
  <c r="L8" i="14"/>
  <c r="K8" i="14"/>
  <c r="J8" i="14"/>
  <c r="AA8" i="14" s="1"/>
  <c r="I8" i="14"/>
  <c r="Z8" i="14" s="1"/>
  <c r="H8" i="14"/>
  <c r="G8" i="14"/>
  <c r="F8" i="14"/>
  <c r="E8" i="14"/>
  <c r="D8" i="14"/>
  <c r="C8" i="14"/>
  <c r="X5" i="14"/>
  <c r="J5" i="14"/>
  <c r="AA5" i="14" s="1"/>
  <c r="G5" i="14"/>
  <c r="M19" i="13"/>
  <c r="L19" i="13"/>
  <c r="K19" i="13"/>
  <c r="J19" i="13"/>
  <c r="I19" i="13"/>
  <c r="H19" i="13"/>
  <c r="G19" i="13"/>
  <c r="F19" i="13"/>
  <c r="E19" i="13"/>
  <c r="D19" i="13"/>
  <c r="C19" i="13"/>
  <c r="L18" i="13"/>
  <c r="K18" i="13"/>
  <c r="J18" i="13"/>
  <c r="I18" i="13"/>
  <c r="H18" i="13"/>
  <c r="G18" i="13"/>
  <c r="F18" i="13"/>
  <c r="E18" i="13"/>
  <c r="D18" i="13"/>
  <c r="C18" i="13"/>
  <c r="N17" i="13"/>
  <c r="L17" i="13"/>
  <c r="K17" i="13"/>
  <c r="J17" i="13"/>
  <c r="I17" i="13"/>
  <c r="H17" i="13"/>
  <c r="G17" i="13"/>
  <c r="F17" i="13"/>
  <c r="E17" i="13"/>
  <c r="D17" i="13"/>
  <c r="C17" i="13"/>
  <c r="L16" i="13"/>
  <c r="K16" i="13"/>
  <c r="J16" i="13"/>
  <c r="I16" i="13"/>
  <c r="H16" i="13"/>
  <c r="G16" i="13"/>
  <c r="F16" i="13"/>
  <c r="E16" i="13"/>
  <c r="D16" i="13"/>
  <c r="C16" i="13"/>
  <c r="L15" i="13"/>
  <c r="K15" i="13"/>
  <c r="J15" i="13"/>
  <c r="I15" i="13"/>
  <c r="H15" i="13"/>
  <c r="G15" i="13"/>
  <c r="F15" i="13"/>
  <c r="E15" i="13"/>
  <c r="D15" i="13"/>
  <c r="C15" i="13"/>
  <c r="L14" i="13"/>
  <c r="K14" i="13"/>
  <c r="J14" i="13"/>
  <c r="I14" i="13"/>
  <c r="H14" i="13"/>
  <c r="G14" i="13"/>
  <c r="F14" i="13"/>
  <c r="E14" i="13"/>
  <c r="D14" i="13"/>
  <c r="C14" i="13"/>
  <c r="L13" i="13"/>
  <c r="K13" i="13"/>
  <c r="J13" i="13"/>
  <c r="I13" i="13"/>
  <c r="H13" i="13"/>
  <c r="G13" i="13"/>
  <c r="F13" i="13"/>
  <c r="E13" i="13"/>
  <c r="D13" i="13"/>
  <c r="C13" i="13"/>
  <c r="L12" i="13"/>
  <c r="K12" i="13"/>
  <c r="J12" i="13"/>
  <c r="I12" i="13"/>
  <c r="H12" i="13"/>
  <c r="G12" i="13"/>
  <c r="F12" i="13"/>
  <c r="E12" i="13"/>
  <c r="D12" i="13"/>
  <c r="C12" i="13"/>
  <c r="L11" i="13"/>
  <c r="K11" i="13"/>
  <c r="J11" i="13"/>
  <c r="I11" i="13"/>
  <c r="H11" i="13"/>
  <c r="G11" i="13"/>
  <c r="F11" i="13"/>
  <c r="E11" i="13"/>
  <c r="D11" i="13"/>
  <c r="D20" i="13" s="1"/>
  <c r="C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L9" i="13"/>
  <c r="K9" i="13"/>
  <c r="J9" i="13"/>
  <c r="I9" i="13"/>
  <c r="H9" i="13"/>
  <c r="G9" i="13"/>
  <c r="G20" i="13" s="1"/>
  <c r="F9" i="13"/>
  <c r="E9" i="13"/>
  <c r="D9" i="13"/>
  <c r="C9" i="13"/>
  <c r="M8" i="13"/>
  <c r="L8" i="13"/>
  <c r="K8" i="13"/>
  <c r="J8" i="13"/>
  <c r="I8" i="13"/>
  <c r="H8" i="13"/>
  <c r="G8" i="13"/>
  <c r="F8" i="13"/>
  <c r="E8" i="13"/>
  <c r="D8" i="13"/>
  <c r="C8" i="13"/>
  <c r="C20" i="13" s="1"/>
  <c r="J5" i="13"/>
  <c r="G5" i="13"/>
  <c r="M19" i="12"/>
  <c r="L19" i="12"/>
  <c r="K19" i="12"/>
  <c r="J19" i="12"/>
  <c r="I19" i="12"/>
  <c r="H19" i="12"/>
  <c r="G19" i="12"/>
  <c r="F19" i="12"/>
  <c r="E19" i="12"/>
  <c r="D19" i="12"/>
  <c r="C19" i="12"/>
  <c r="N18" i="12"/>
  <c r="L18" i="12"/>
  <c r="K18" i="12"/>
  <c r="J18" i="12"/>
  <c r="I18" i="12"/>
  <c r="H18" i="12"/>
  <c r="G18" i="12"/>
  <c r="F18" i="12"/>
  <c r="E18" i="12"/>
  <c r="D18" i="12"/>
  <c r="C18" i="12"/>
  <c r="L17" i="12"/>
  <c r="K17" i="12"/>
  <c r="J17" i="12"/>
  <c r="I17" i="12"/>
  <c r="H17" i="12"/>
  <c r="G17" i="12"/>
  <c r="F17" i="12"/>
  <c r="E17" i="12"/>
  <c r="D17" i="12"/>
  <c r="C17" i="12"/>
  <c r="L16" i="12"/>
  <c r="K16" i="12"/>
  <c r="J16" i="12"/>
  <c r="I16" i="12"/>
  <c r="H16" i="12"/>
  <c r="G16" i="12"/>
  <c r="F16" i="12"/>
  <c r="E16" i="12"/>
  <c r="D16" i="12"/>
  <c r="C16" i="12"/>
  <c r="L15" i="12"/>
  <c r="K15" i="12"/>
  <c r="J15" i="12"/>
  <c r="I15" i="12"/>
  <c r="H15" i="12"/>
  <c r="G15" i="12"/>
  <c r="F15" i="12"/>
  <c r="E15" i="12"/>
  <c r="D15" i="12"/>
  <c r="C15" i="12"/>
  <c r="L14" i="12"/>
  <c r="K14" i="12"/>
  <c r="J14" i="12"/>
  <c r="I14" i="12"/>
  <c r="H14" i="12"/>
  <c r="G14" i="12"/>
  <c r="F14" i="12"/>
  <c r="E14" i="12"/>
  <c r="D14" i="12"/>
  <c r="C14" i="12"/>
  <c r="N13" i="12"/>
  <c r="L13" i="12"/>
  <c r="K13" i="12"/>
  <c r="J13" i="12"/>
  <c r="I13" i="12"/>
  <c r="H13" i="12"/>
  <c r="G13" i="12"/>
  <c r="F13" i="12"/>
  <c r="E13" i="12"/>
  <c r="D13" i="12"/>
  <c r="C13" i="12"/>
  <c r="M12" i="12"/>
  <c r="L12" i="12"/>
  <c r="K12" i="12"/>
  <c r="J12" i="12"/>
  <c r="I12" i="12"/>
  <c r="H12" i="12"/>
  <c r="G12" i="12"/>
  <c r="F12" i="12"/>
  <c r="E12" i="12"/>
  <c r="D12" i="12"/>
  <c r="C12" i="12"/>
  <c r="L11" i="12"/>
  <c r="K11" i="12"/>
  <c r="J11" i="12"/>
  <c r="I11" i="12"/>
  <c r="H11" i="12"/>
  <c r="G11" i="12"/>
  <c r="F11" i="12"/>
  <c r="E11" i="12"/>
  <c r="D11" i="12"/>
  <c r="C11" i="12"/>
  <c r="L10" i="12"/>
  <c r="K10" i="12"/>
  <c r="J10" i="12"/>
  <c r="I10" i="12"/>
  <c r="H10" i="12"/>
  <c r="G10" i="12"/>
  <c r="F10" i="12"/>
  <c r="E10" i="12"/>
  <c r="D10" i="12"/>
  <c r="C10" i="12"/>
  <c r="N9" i="12"/>
  <c r="L9" i="12"/>
  <c r="K9" i="12"/>
  <c r="K20" i="12" s="1"/>
  <c r="J9" i="12"/>
  <c r="I9" i="12"/>
  <c r="H9" i="12"/>
  <c r="G9" i="12"/>
  <c r="F9" i="12"/>
  <c r="E9" i="12"/>
  <c r="D9" i="12"/>
  <c r="C9" i="12"/>
  <c r="L8" i="12"/>
  <c r="K8" i="12"/>
  <c r="J8" i="12"/>
  <c r="I8" i="12"/>
  <c r="I20" i="12" s="1"/>
  <c r="H8" i="12"/>
  <c r="H20" i="12" s="1"/>
  <c r="G8" i="12"/>
  <c r="G20" i="12" s="1"/>
  <c r="F8" i="12"/>
  <c r="E8" i="12"/>
  <c r="D8" i="12"/>
  <c r="C8" i="12"/>
  <c r="J5" i="12"/>
  <c r="G5" i="12"/>
  <c r="L19" i="11"/>
  <c r="K19" i="11"/>
  <c r="J19" i="11"/>
  <c r="I19" i="11"/>
  <c r="H19" i="11"/>
  <c r="G19" i="11"/>
  <c r="F19" i="11"/>
  <c r="E19" i="11"/>
  <c r="D19" i="11"/>
  <c r="C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N17" i="11"/>
  <c r="L17" i="11"/>
  <c r="K17" i="11"/>
  <c r="J17" i="11"/>
  <c r="I17" i="11"/>
  <c r="H17" i="11"/>
  <c r="G17" i="11"/>
  <c r="F17" i="11"/>
  <c r="E17" i="11"/>
  <c r="D17" i="11"/>
  <c r="C17" i="11"/>
  <c r="L16" i="11"/>
  <c r="K16" i="11"/>
  <c r="J16" i="11"/>
  <c r="I16" i="11"/>
  <c r="H16" i="11"/>
  <c r="G16" i="11"/>
  <c r="F16" i="11"/>
  <c r="E16" i="11"/>
  <c r="D16" i="11"/>
  <c r="C16" i="11"/>
  <c r="L15" i="11"/>
  <c r="K15" i="11"/>
  <c r="J15" i="11"/>
  <c r="I15" i="11"/>
  <c r="H15" i="11"/>
  <c r="G15" i="11"/>
  <c r="F15" i="11"/>
  <c r="E15" i="11"/>
  <c r="D15" i="11"/>
  <c r="C15" i="11"/>
  <c r="L14" i="11"/>
  <c r="K14" i="11"/>
  <c r="J14" i="11"/>
  <c r="I14" i="11"/>
  <c r="H14" i="11"/>
  <c r="G14" i="11"/>
  <c r="F14" i="11"/>
  <c r="E14" i="11"/>
  <c r="D14" i="11"/>
  <c r="C14" i="11"/>
  <c r="M13" i="11"/>
  <c r="L13" i="11"/>
  <c r="K13" i="11"/>
  <c r="J13" i="11"/>
  <c r="I13" i="11"/>
  <c r="H13" i="11"/>
  <c r="G13" i="11"/>
  <c r="F13" i="11"/>
  <c r="E13" i="11"/>
  <c r="D13" i="11"/>
  <c r="C13" i="11"/>
  <c r="L12" i="11"/>
  <c r="K12" i="11"/>
  <c r="J12" i="11"/>
  <c r="I12" i="11"/>
  <c r="H12" i="11"/>
  <c r="G12" i="11"/>
  <c r="F12" i="11"/>
  <c r="E12" i="11"/>
  <c r="D12" i="11"/>
  <c r="C12" i="11"/>
  <c r="L11" i="11"/>
  <c r="K11" i="11"/>
  <c r="J11" i="11"/>
  <c r="I11" i="11"/>
  <c r="H11" i="11"/>
  <c r="G11" i="11"/>
  <c r="F11" i="11"/>
  <c r="E11" i="11"/>
  <c r="D11" i="11"/>
  <c r="C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N9" i="11"/>
  <c r="L9" i="11"/>
  <c r="K9" i="11"/>
  <c r="J9" i="11"/>
  <c r="I9" i="11"/>
  <c r="H9" i="11"/>
  <c r="G9" i="11"/>
  <c r="F9" i="11"/>
  <c r="E9" i="11"/>
  <c r="D9" i="11"/>
  <c r="C9" i="11"/>
  <c r="L8" i="11"/>
  <c r="K8" i="11"/>
  <c r="J8" i="11"/>
  <c r="I8" i="11"/>
  <c r="H8" i="11"/>
  <c r="G8" i="11"/>
  <c r="G20" i="11" s="1"/>
  <c r="F8" i="11"/>
  <c r="E8" i="11"/>
  <c r="D8" i="11"/>
  <c r="C8" i="11"/>
  <c r="N19" i="10"/>
  <c r="L19" i="10"/>
  <c r="K19" i="10"/>
  <c r="J19" i="10"/>
  <c r="I19" i="10"/>
  <c r="H19" i="10"/>
  <c r="G19" i="10"/>
  <c r="L18" i="10"/>
  <c r="K18" i="10"/>
  <c r="J18" i="10"/>
  <c r="I18" i="10"/>
  <c r="H18" i="10"/>
  <c r="G18" i="10"/>
  <c r="F18" i="10"/>
  <c r="E18" i="10"/>
  <c r="D18" i="10"/>
  <c r="C18" i="10"/>
  <c r="N17" i="10"/>
  <c r="L17" i="10"/>
  <c r="K17" i="10"/>
  <c r="J17" i="10"/>
  <c r="I17" i="10"/>
  <c r="H17" i="10"/>
  <c r="G17" i="10"/>
  <c r="F17" i="10"/>
  <c r="E17" i="10"/>
  <c r="D17" i="10"/>
  <c r="C17" i="10"/>
  <c r="M16" i="10"/>
  <c r="L16" i="10"/>
  <c r="K16" i="10"/>
  <c r="J16" i="10"/>
  <c r="I16" i="10"/>
  <c r="H16" i="10"/>
  <c r="G16" i="10"/>
  <c r="F16" i="10"/>
  <c r="E16" i="10"/>
  <c r="D16" i="10"/>
  <c r="C16" i="10"/>
  <c r="N15" i="10"/>
  <c r="L15" i="10"/>
  <c r="K15" i="10"/>
  <c r="J15" i="10"/>
  <c r="I15" i="10"/>
  <c r="H15" i="10"/>
  <c r="G15" i="10"/>
  <c r="F15" i="10"/>
  <c r="E15" i="10"/>
  <c r="D15" i="10"/>
  <c r="C15" i="10"/>
  <c r="L14" i="10"/>
  <c r="K14" i="10"/>
  <c r="J14" i="10"/>
  <c r="I14" i="10"/>
  <c r="H14" i="10"/>
  <c r="G14" i="10"/>
  <c r="F14" i="10"/>
  <c r="E14" i="10"/>
  <c r="D14" i="10"/>
  <c r="C14" i="10"/>
  <c r="L13" i="10"/>
  <c r="K13" i="10"/>
  <c r="J13" i="10"/>
  <c r="I13" i="10"/>
  <c r="H13" i="10"/>
  <c r="G13" i="10"/>
  <c r="F13" i="10"/>
  <c r="E13" i="10"/>
  <c r="D13" i="10"/>
  <c r="C13" i="10"/>
  <c r="L12" i="10"/>
  <c r="K12" i="10"/>
  <c r="J12" i="10"/>
  <c r="I12" i="10"/>
  <c r="I20" i="10" s="1"/>
  <c r="H12" i="10"/>
  <c r="G12" i="10"/>
  <c r="F12" i="10"/>
  <c r="E12" i="10"/>
  <c r="D12" i="10"/>
  <c r="C12" i="10"/>
  <c r="L11" i="10"/>
  <c r="K11" i="10"/>
  <c r="J11" i="10"/>
  <c r="I11" i="10"/>
  <c r="H11" i="10"/>
  <c r="G11" i="10"/>
  <c r="F11" i="10"/>
  <c r="E11" i="10"/>
  <c r="D11" i="10"/>
  <c r="C11" i="10"/>
  <c r="N10" i="10"/>
  <c r="L10" i="10"/>
  <c r="K10" i="10"/>
  <c r="K20" i="10" s="1"/>
  <c r="J10" i="10"/>
  <c r="J20" i="10" s="1"/>
  <c r="I10" i="10"/>
  <c r="H10" i="10"/>
  <c r="G10" i="10"/>
  <c r="F10" i="10"/>
  <c r="E10" i="10"/>
  <c r="D10" i="10"/>
  <c r="C10" i="10"/>
  <c r="L9" i="10"/>
  <c r="K9" i="10"/>
  <c r="J9" i="10"/>
  <c r="I9" i="10"/>
  <c r="H9" i="10"/>
  <c r="G9" i="10"/>
  <c r="F9" i="10"/>
  <c r="E9" i="10"/>
  <c r="D9" i="10"/>
  <c r="C9" i="10"/>
  <c r="N8" i="10"/>
  <c r="M8" i="10"/>
  <c r="L8" i="10"/>
  <c r="K8" i="10"/>
  <c r="J8" i="10"/>
  <c r="I8" i="10"/>
  <c r="H8" i="10"/>
  <c r="G8" i="10"/>
  <c r="F8" i="10"/>
  <c r="E8" i="10"/>
  <c r="D8" i="10"/>
  <c r="C8" i="10"/>
  <c r="J5" i="10"/>
  <c r="G5" i="10"/>
  <c r="L19" i="9"/>
  <c r="K19" i="9"/>
  <c r="J19" i="9"/>
  <c r="I19" i="9"/>
  <c r="H19" i="9"/>
  <c r="G19" i="9"/>
  <c r="F19" i="9"/>
  <c r="E19" i="9"/>
  <c r="D19" i="9"/>
  <c r="C19" i="9"/>
  <c r="L18" i="9"/>
  <c r="K18" i="9"/>
  <c r="J18" i="9"/>
  <c r="I18" i="9"/>
  <c r="H18" i="9"/>
  <c r="G18" i="9"/>
  <c r="F18" i="9"/>
  <c r="E18" i="9"/>
  <c r="D18" i="9"/>
  <c r="C18" i="9"/>
  <c r="L17" i="9"/>
  <c r="K17" i="9"/>
  <c r="J17" i="9"/>
  <c r="I17" i="9"/>
  <c r="H17" i="9"/>
  <c r="G17" i="9"/>
  <c r="F17" i="9"/>
  <c r="E17" i="9"/>
  <c r="D17" i="9"/>
  <c r="C17" i="9"/>
  <c r="L16" i="9"/>
  <c r="K16" i="9"/>
  <c r="J16" i="9"/>
  <c r="I16" i="9"/>
  <c r="H16" i="9"/>
  <c r="G16" i="9"/>
  <c r="F16" i="9"/>
  <c r="E16" i="9"/>
  <c r="D16" i="9"/>
  <c r="C16" i="9"/>
  <c r="M15" i="9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O13" i="9"/>
  <c r="M13" i="9"/>
  <c r="L13" i="9"/>
  <c r="K13" i="9"/>
  <c r="J13" i="9"/>
  <c r="I13" i="9"/>
  <c r="H13" i="9"/>
  <c r="G13" i="9"/>
  <c r="F13" i="9"/>
  <c r="E13" i="9"/>
  <c r="D13" i="9"/>
  <c r="C13" i="9"/>
  <c r="L12" i="9"/>
  <c r="K12" i="9"/>
  <c r="J12" i="9"/>
  <c r="I12" i="9"/>
  <c r="H12" i="9"/>
  <c r="H20" i="9" s="1"/>
  <c r="G12" i="9"/>
  <c r="F12" i="9"/>
  <c r="E12" i="9"/>
  <c r="D12" i="9"/>
  <c r="C12" i="9"/>
  <c r="C20" i="9" s="1"/>
  <c r="N11" i="9"/>
  <c r="L11" i="9"/>
  <c r="K11" i="9"/>
  <c r="J11" i="9"/>
  <c r="I11" i="9"/>
  <c r="H11" i="9"/>
  <c r="G11" i="9"/>
  <c r="F11" i="9"/>
  <c r="E11" i="9"/>
  <c r="D11" i="9"/>
  <c r="C11" i="9"/>
  <c r="L10" i="9"/>
  <c r="K10" i="9"/>
  <c r="J10" i="9"/>
  <c r="I10" i="9"/>
  <c r="H10" i="9"/>
  <c r="G10" i="9"/>
  <c r="G20" i="9" s="1"/>
  <c r="F10" i="9"/>
  <c r="E10" i="9"/>
  <c r="D10" i="9"/>
  <c r="C10" i="9"/>
  <c r="L9" i="9"/>
  <c r="K9" i="9"/>
  <c r="K20" i="9" s="1"/>
  <c r="J9" i="9"/>
  <c r="I9" i="9"/>
  <c r="H9" i="9"/>
  <c r="G9" i="9"/>
  <c r="F9" i="9"/>
  <c r="E9" i="9"/>
  <c r="D9" i="9"/>
  <c r="C9" i="9"/>
  <c r="N8" i="9"/>
  <c r="M8" i="9"/>
  <c r="L8" i="9"/>
  <c r="L20" i="9" s="1"/>
  <c r="K8" i="9"/>
  <c r="J8" i="9"/>
  <c r="J20" i="9" s="1"/>
  <c r="I8" i="9"/>
  <c r="I20" i="9" s="1"/>
  <c r="H8" i="9"/>
  <c r="G8" i="9"/>
  <c r="F8" i="9"/>
  <c r="E8" i="9"/>
  <c r="D8" i="9"/>
  <c r="C8" i="9"/>
  <c r="J5" i="9"/>
  <c r="G5" i="9"/>
  <c r="L19" i="8"/>
  <c r="K19" i="8"/>
  <c r="J19" i="8"/>
  <c r="I19" i="8"/>
  <c r="H19" i="8"/>
  <c r="G19" i="8"/>
  <c r="F19" i="8"/>
  <c r="E19" i="8"/>
  <c r="D19" i="8"/>
  <c r="C19" i="8"/>
  <c r="L18" i="8"/>
  <c r="K18" i="8"/>
  <c r="J18" i="8"/>
  <c r="I18" i="8"/>
  <c r="H18" i="8"/>
  <c r="G18" i="8"/>
  <c r="F18" i="8"/>
  <c r="E18" i="8"/>
  <c r="D18" i="8"/>
  <c r="C18" i="8"/>
  <c r="M17" i="8"/>
  <c r="L17" i="8"/>
  <c r="K17" i="8"/>
  <c r="J17" i="8"/>
  <c r="I17" i="8"/>
  <c r="H17" i="8"/>
  <c r="G17" i="8"/>
  <c r="F17" i="8"/>
  <c r="E17" i="8"/>
  <c r="D17" i="8"/>
  <c r="C17" i="8"/>
  <c r="O16" i="8"/>
  <c r="L16" i="8"/>
  <c r="K16" i="8"/>
  <c r="J16" i="8"/>
  <c r="I16" i="8"/>
  <c r="H16" i="8"/>
  <c r="G16" i="8"/>
  <c r="F16" i="8"/>
  <c r="E16" i="8"/>
  <c r="D16" i="8"/>
  <c r="C16" i="8"/>
  <c r="M15" i="8"/>
  <c r="L15" i="8"/>
  <c r="K15" i="8"/>
  <c r="J15" i="8"/>
  <c r="I15" i="8"/>
  <c r="H15" i="8"/>
  <c r="G15" i="8"/>
  <c r="F15" i="8"/>
  <c r="E15" i="8"/>
  <c r="D15" i="8"/>
  <c r="C15" i="8"/>
  <c r="L14" i="8"/>
  <c r="K14" i="8"/>
  <c r="J14" i="8"/>
  <c r="I14" i="8"/>
  <c r="H14" i="8"/>
  <c r="G14" i="8"/>
  <c r="F14" i="8"/>
  <c r="E14" i="8"/>
  <c r="D14" i="8"/>
  <c r="C14" i="8"/>
  <c r="L13" i="8"/>
  <c r="K13" i="8"/>
  <c r="J13" i="8"/>
  <c r="I13" i="8"/>
  <c r="H13" i="8"/>
  <c r="G13" i="8"/>
  <c r="F13" i="8"/>
  <c r="E13" i="8"/>
  <c r="D13" i="8"/>
  <c r="C13" i="8"/>
  <c r="O12" i="8"/>
  <c r="N12" i="8"/>
  <c r="L12" i="8"/>
  <c r="K12" i="8"/>
  <c r="J12" i="8"/>
  <c r="I12" i="8"/>
  <c r="H12" i="8"/>
  <c r="H20" i="8" s="1"/>
  <c r="G12" i="8"/>
  <c r="F12" i="8"/>
  <c r="E12" i="8"/>
  <c r="D12" i="8"/>
  <c r="C12" i="8"/>
  <c r="L11" i="8"/>
  <c r="K11" i="8"/>
  <c r="J11" i="8"/>
  <c r="I11" i="8"/>
  <c r="H11" i="8"/>
  <c r="G11" i="8"/>
  <c r="G20" i="8" s="1"/>
  <c r="F11" i="8"/>
  <c r="E11" i="8"/>
  <c r="D11" i="8"/>
  <c r="C11" i="8"/>
  <c r="M10" i="8"/>
  <c r="L10" i="8"/>
  <c r="K10" i="8"/>
  <c r="J10" i="8"/>
  <c r="I10" i="8"/>
  <c r="H10" i="8"/>
  <c r="G10" i="8"/>
  <c r="F10" i="8"/>
  <c r="E10" i="8"/>
  <c r="D10" i="8"/>
  <c r="C10" i="8"/>
  <c r="N9" i="8"/>
  <c r="L9" i="8"/>
  <c r="K9" i="8"/>
  <c r="K20" i="8" s="1"/>
  <c r="J9" i="8"/>
  <c r="I9" i="8"/>
  <c r="H9" i="8"/>
  <c r="G9" i="8"/>
  <c r="F9" i="8"/>
  <c r="E9" i="8"/>
  <c r="D9" i="8"/>
  <c r="D20" i="8" s="1"/>
  <c r="C9" i="8"/>
  <c r="M8" i="8"/>
  <c r="L8" i="8"/>
  <c r="K8" i="8"/>
  <c r="J8" i="8"/>
  <c r="I8" i="8"/>
  <c r="H8" i="8"/>
  <c r="G8" i="8"/>
  <c r="F8" i="8"/>
  <c r="E8" i="8"/>
  <c r="D8" i="8"/>
  <c r="C8" i="8"/>
  <c r="J5" i="8"/>
  <c r="G5" i="8"/>
  <c r="L19" i="7"/>
  <c r="K19" i="7"/>
  <c r="J19" i="7"/>
  <c r="I19" i="7"/>
  <c r="H19" i="7"/>
  <c r="G19" i="7"/>
  <c r="F19" i="7"/>
  <c r="E19" i="7"/>
  <c r="D19" i="7"/>
  <c r="C19" i="7"/>
  <c r="N18" i="7"/>
  <c r="L18" i="7"/>
  <c r="K18" i="7"/>
  <c r="J18" i="7"/>
  <c r="I18" i="7"/>
  <c r="H18" i="7"/>
  <c r="G18" i="7"/>
  <c r="F18" i="7"/>
  <c r="E18" i="7"/>
  <c r="D18" i="7"/>
  <c r="C18" i="7"/>
  <c r="L17" i="7"/>
  <c r="K17" i="7"/>
  <c r="J17" i="7"/>
  <c r="I17" i="7"/>
  <c r="H17" i="7"/>
  <c r="G17" i="7"/>
  <c r="F17" i="7"/>
  <c r="E17" i="7"/>
  <c r="D17" i="7"/>
  <c r="C17" i="7"/>
  <c r="O16" i="7"/>
  <c r="M16" i="7"/>
  <c r="L16" i="7"/>
  <c r="K16" i="7"/>
  <c r="J16" i="7"/>
  <c r="I16" i="7"/>
  <c r="H16" i="7"/>
  <c r="G16" i="7"/>
  <c r="F16" i="7"/>
  <c r="E16" i="7"/>
  <c r="D16" i="7"/>
  <c r="C16" i="7"/>
  <c r="N15" i="7"/>
  <c r="M15" i="7"/>
  <c r="L15" i="7"/>
  <c r="K15" i="7"/>
  <c r="J15" i="7"/>
  <c r="I15" i="7"/>
  <c r="H15" i="7"/>
  <c r="H20" i="7" s="1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L13" i="7"/>
  <c r="K13" i="7"/>
  <c r="J13" i="7"/>
  <c r="I13" i="7"/>
  <c r="H13" i="7"/>
  <c r="G13" i="7"/>
  <c r="F13" i="7"/>
  <c r="E13" i="7"/>
  <c r="D13" i="7"/>
  <c r="C13" i="7"/>
  <c r="M12" i="7"/>
  <c r="L12" i="7"/>
  <c r="K12" i="7"/>
  <c r="J12" i="7"/>
  <c r="I12" i="7"/>
  <c r="H12" i="7"/>
  <c r="G12" i="7"/>
  <c r="F12" i="7"/>
  <c r="E12" i="7"/>
  <c r="D12" i="7"/>
  <c r="C12" i="7"/>
  <c r="N11" i="7"/>
  <c r="L11" i="7"/>
  <c r="K11" i="7"/>
  <c r="J11" i="7"/>
  <c r="I11" i="7"/>
  <c r="H11" i="7"/>
  <c r="G11" i="7"/>
  <c r="F11" i="7"/>
  <c r="E11" i="7"/>
  <c r="D11" i="7"/>
  <c r="C11" i="7"/>
  <c r="L10" i="7"/>
  <c r="K10" i="7"/>
  <c r="J10" i="7"/>
  <c r="I10" i="7"/>
  <c r="I20" i="7" s="1"/>
  <c r="H10" i="7"/>
  <c r="G10" i="7"/>
  <c r="F10" i="7"/>
  <c r="E10" i="7"/>
  <c r="D10" i="7"/>
  <c r="C10" i="7"/>
  <c r="L9" i="7"/>
  <c r="K9" i="7"/>
  <c r="J9" i="7"/>
  <c r="I9" i="7"/>
  <c r="H9" i="7"/>
  <c r="G9" i="7"/>
  <c r="F9" i="7"/>
  <c r="E9" i="7"/>
  <c r="D9" i="7"/>
  <c r="C9" i="7"/>
  <c r="L8" i="7"/>
  <c r="K8" i="7"/>
  <c r="J8" i="7"/>
  <c r="J20" i="7" s="1"/>
  <c r="I8" i="7"/>
  <c r="H8" i="7"/>
  <c r="G8" i="7"/>
  <c r="F8" i="7"/>
  <c r="E8" i="7"/>
  <c r="D8" i="7"/>
  <c r="C8" i="7"/>
  <c r="J5" i="7"/>
  <c r="G5" i="7"/>
  <c r="L19" i="6"/>
  <c r="K19" i="6"/>
  <c r="J19" i="6"/>
  <c r="I19" i="6"/>
  <c r="H19" i="6"/>
  <c r="G19" i="6"/>
  <c r="F19" i="6"/>
  <c r="E19" i="6"/>
  <c r="D19" i="6"/>
  <c r="C19" i="6"/>
  <c r="M18" i="6"/>
  <c r="L18" i="6"/>
  <c r="K18" i="6"/>
  <c r="J18" i="6"/>
  <c r="I18" i="6"/>
  <c r="H18" i="6"/>
  <c r="G18" i="6"/>
  <c r="F18" i="6"/>
  <c r="E18" i="6"/>
  <c r="D18" i="6"/>
  <c r="C18" i="6"/>
  <c r="L17" i="6"/>
  <c r="K17" i="6"/>
  <c r="J17" i="6"/>
  <c r="I17" i="6"/>
  <c r="H17" i="6"/>
  <c r="G17" i="6"/>
  <c r="F17" i="6"/>
  <c r="E17" i="6"/>
  <c r="D17" i="6"/>
  <c r="C17" i="6"/>
  <c r="L16" i="6"/>
  <c r="K16" i="6"/>
  <c r="J16" i="6"/>
  <c r="I16" i="6"/>
  <c r="H16" i="6"/>
  <c r="G16" i="6"/>
  <c r="F16" i="6"/>
  <c r="E16" i="6"/>
  <c r="D16" i="6"/>
  <c r="C16" i="6"/>
  <c r="N15" i="6"/>
  <c r="L15" i="6"/>
  <c r="K15" i="6"/>
  <c r="J15" i="6"/>
  <c r="I15" i="6"/>
  <c r="H15" i="6"/>
  <c r="G15" i="6"/>
  <c r="F15" i="6"/>
  <c r="E15" i="6"/>
  <c r="D15" i="6"/>
  <c r="C15" i="6"/>
  <c r="M14" i="6"/>
  <c r="L14" i="6"/>
  <c r="K14" i="6"/>
  <c r="J14" i="6"/>
  <c r="I14" i="6"/>
  <c r="H14" i="6"/>
  <c r="G14" i="6"/>
  <c r="F14" i="6"/>
  <c r="E14" i="6"/>
  <c r="D14" i="6"/>
  <c r="C14" i="6"/>
  <c r="C20" i="6" s="1"/>
  <c r="N13" i="6"/>
  <c r="L13" i="6"/>
  <c r="K13" i="6"/>
  <c r="J13" i="6"/>
  <c r="I13" i="6"/>
  <c r="H13" i="6"/>
  <c r="G13" i="6"/>
  <c r="F13" i="6"/>
  <c r="E13" i="6"/>
  <c r="D13" i="6"/>
  <c r="C13" i="6"/>
  <c r="L12" i="6"/>
  <c r="K12" i="6"/>
  <c r="J12" i="6"/>
  <c r="I12" i="6"/>
  <c r="H12" i="6"/>
  <c r="G12" i="6"/>
  <c r="F12" i="6"/>
  <c r="E12" i="6"/>
  <c r="D12" i="6"/>
  <c r="C12" i="6"/>
  <c r="O11" i="6"/>
  <c r="M11" i="6"/>
  <c r="L11" i="6"/>
  <c r="K11" i="6"/>
  <c r="J11" i="6"/>
  <c r="I11" i="6"/>
  <c r="H11" i="6"/>
  <c r="G11" i="6"/>
  <c r="F11" i="6"/>
  <c r="E11" i="6"/>
  <c r="D11" i="6"/>
  <c r="C11" i="6"/>
  <c r="M10" i="6"/>
  <c r="L10" i="6"/>
  <c r="K10" i="6"/>
  <c r="J10" i="6"/>
  <c r="I10" i="6"/>
  <c r="H10" i="6"/>
  <c r="H20" i="6" s="1"/>
  <c r="G10" i="6"/>
  <c r="F10" i="6"/>
  <c r="E10" i="6"/>
  <c r="D10" i="6"/>
  <c r="C10" i="6"/>
  <c r="L9" i="6"/>
  <c r="K9" i="6"/>
  <c r="J9" i="6"/>
  <c r="I9" i="6"/>
  <c r="H9" i="6"/>
  <c r="G9" i="6"/>
  <c r="F9" i="6"/>
  <c r="E9" i="6"/>
  <c r="D9" i="6"/>
  <c r="C9" i="6"/>
  <c r="N8" i="6"/>
  <c r="L8" i="6"/>
  <c r="K8" i="6"/>
  <c r="J8" i="6"/>
  <c r="J20" i="6" s="1"/>
  <c r="I8" i="6"/>
  <c r="H8" i="6"/>
  <c r="G8" i="6"/>
  <c r="F8" i="6"/>
  <c r="E8" i="6"/>
  <c r="D8" i="6"/>
  <c r="C8" i="6"/>
  <c r="J5" i="6"/>
  <c r="G5" i="6"/>
  <c r="N19" i="5"/>
  <c r="L19" i="5"/>
  <c r="K19" i="5"/>
  <c r="J19" i="5"/>
  <c r="I19" i="5"/>
  <c r="H19" i="5"/>
  <c r="G19" i="5"/>
  <c r="F19" i="5"/>
  <c r="E19" i="5"/>
  <c r="D19" i="5"/>
  <c r="C19" i="5"/>
  <c r="N18" i="5"/>
  <c r="L18" i="5"/>
  <c r="K18" i="5"/>
  <c r="J18" i="5"/>
  <c r="I18" i="5"/>
  <c r="H18" i="5"/>
  <c r="G18" i="5"/>
  <c r="F18" i="5"/>
  <c r="E18" i="5"/>
  <c r="D18" i="5"/>
  <c r="C18" i="5"/>
  <c r="L17" i="5"/>
  <c r="K17" i="5"/>
  <c r="J17" i="5"/>
  <c r="I17" i="5"/>
  <c r="H17" i="5"/>
  <c r="G17" i="5"/>
  <c r="F17" i="5"/>
  <c r="E17" i="5"/>
  <c r="D17" i="5"/>
  <c r="C17" i="5"/>
  <c r="N16" i="5"/>
  <c r="M16" i="5"/>
  <c r="L16" i="5"/>
  <c r="K16" i="5"/>
  <c r="J16" i="5"/>
  <c r="I16" i="5"/>
  <c r="H16" i="5"/>
  <c r="G16" i="5"/>
  <c r="F16" i="5"/>
  <c r="E16" i="5"/>
  <c r="D16" i="5"/>
  <c r="C16" i="5"/>
  <c r="L15" i="5"/>
  <c r="K15" i="5"/>
  <c r="J15" i="5"/>
  <c r="I15" i="5"/>
  <c r="H15" i="5"/>
  <c r="G15" i="5"/>
  <c r="F15" i="5"/>
  <c r="E15" i="5"/>
  <c r="D15" i="5"/>
  <c r="C15" i="5"/>
  <c r="N14" i="5"/>
  <c r="M14" i="5"/>
  <c r="L14" i="5"/>
  <c r="K14" i="5"/>
  <c r="J14" i="5"/>
  <c r="I14" i="5"/>
  <c r="H14" i="5"/>
  <c r="G14" i="5"/>
  <c r="F14" i="5"/>
  <c r="E14" i="5"/>
  <c r="D14" i="5"/>
  <c r="C14" i="5"/>
  <c r="N13" i="5"/>
  <c r="L13" i="5"/>
  <c r="K13" i="5"/>
  <c r="J13" i="5"/>
  <c r="I13" i="5"/>
  <c r="H13" i="5"/>
  <c r="G13" i="5"/>
  <c r="F13" i="5"/>
  <c r="E13" i="5"/>
  <c r="D13" i="5"/>
  <c r="C13" i="5"/>
  <c r="L12" i="5"/>
  <c r="K12" i="5"/>
  <c r="J12" i="5"/>
  <c r="I12" i="5"/>
  <c r="H12" i="5"/>
  <c r="H20" i="5" s="1"/>
  <c r="G12" i="5"/>
  <c r="F12" i="5"/>
  <c r="E12" i="5"/>
  <c r="D12" i="5"/>
  <c r="C12" i="5"/>
  <c r="M11" i="5"/>
  <c r="L11" i="5"/>
  <c r="K11" i="5"/>
  <c r="J11" i="5"/>
  <c r="I11" i="5"/>
  <c r="H11" i="5"/>
  <c r="G11" i="5"/>
  <c r="F11" i="5"/>
  <c r="E11" i="5"/>
  <c r="D11" i="5"/>
  <c r="C11" i="5"/>
  <c r="C20" i="5" s="1"/>
  <c r="N10" i="5"/>
  <c r="M10" i="5"/>
  <c r="L10" i="5"/>
  <c r="K10" i="5"/>
  <c r="J10" i="5"/>
  <c r="I10" i="5"/>
  <c r="I20" i="5" s="1"/>
  <c r="H10" i="5"/>
  <c r="G10" i="5"/>
  <c r="F10" i="5"/>
  <c r="E10" i="5"/>
  <c r="D10" i="5"/>
  <c r="C10" i="5"/>
  <c r="L9" i="5"/>
  <c r="K9" i="5"/>
  <c r="J9" i="5"/>
  <c r="I9" i="5"/>
  <c r="H9" i="5"/>
  <c r="G9" i="5"/>
  <c r="F9" i="5"/>
  <c r="F20" i="5" s="1"/>
  <c r="E9" i="5"/>
  <c r="D9" i="5"/>
  <c r="D20" i="5" s="1"/>
  <c r="C9" i="5"/>
  <c r="N8" i="5"/>
  <c r="L8" i="5"/>
  <c r="L20" i="5" s="1"/>
  <c r="K8" i="5"/>
  <c r="K20" i="5" s="1"/>
  <c r="J8" i="5"/>
  <c r="I8" i="5"/>
  <c r="H8" i="5"/>
  <c r="G8" i="5"/>
  <c r="F8" i="5"/>
  <c r="E8" i="5"/>
  <c r="D8" i="5"/>
  <c r="C8" i="5"/>
  <c r="J5" i="5"/>
  <c r="G5" i="5"/>
  <c r="N20" i="4"/>
  <c r="L20" i="4"/>
  <c r="N19" i="4"/>
  <c r="N19" i="21" s="1"/>
  <c r="O19" i="21" s="1"/>
  <c r="L19" i="4"/>
  <c r="K19" i="4"/>
  <c r="K19" i="21" s="1"/>
  <c r="J19" i="4"/>
  <c r="I19" i="4"/>
  <c r="I19" i="21" s="1"/>
  <c r="H19" i="4"/>
  <c r="H19" i="21" s="1"/>
  <c r="G19" i="4"/>
  <c r="G19" i="21" s="1"/>
  <c r="M19" i="21" s="1"/>
  <c r="F19" i="4"/>
  <c r="E19" i="4"/>
  <c r="D19" i="4"/>
  <c r="C19" i="4"/>
  <c r="N18" i="4"/>
  <c r="N18" i="21" s="1"/>
  <c r="O18" i="21" s="1"/>
  <c r="M18" i="4"/>
  <c r="L18" i="4"/>
  <c r="K18" i="4"/>
  <c r="K18" i="21" s="1"/>
  <c r="J18" i="4"/>
  <c r="I18" i="4"/>
  <c r="I18" i="21" s="1"/>
  <c r="H18" i="4"/>
  <c r="H18" i="21" s="1"/>
  <c r="G18" i="4"/>
  <c r="F18" i="4"/>
  <c r="E18" i="4"/>
  <c r="D18" i="4"/>
  <c r="C18" i="4"/>
  <c r="N17" i="4"/>
  <c r="N17" i="21" s="1"/>
  <c r="L17" i="4"/>
  <c r="K17" i="4"/>
  <c r="J17" i="4"/>
  <c r="I17" i="4"/>
  <c r="I17" i="21" s="1"/>
  <c r="H17" i="4"/>
  <c r="H17" i="21" s="1"/>
  <c r="G17" i="4"/>
  <c r="F17" i="4"/>
  <c r="E17" i="4"/>
  <c r="D17" i="4"/>
  <c r="C17" i="4"/>
  <c r="N16" i="4"/>
  <c r="N16" i="21" s="1"/>
  <c r="L16" i="4"/>
  <c r="K16" i="4"/>
  <c r="K16" i="21" s="1"/>
  <c r="J16" i="4"/>
  <c r="I16" i="4"/>
  <c r="I16" i="21" s="1"/>
  <c r="H16" i="4"/>
  <c r="H16" i="21" s="1"/>
  <c r="G16" i="4"/>
  <c r="G16" i="21" s="1"/>
  <c r="F16" i="4"/>
  <c r="E16" i="4"/>
  <c r="D16" i="4"/>
  <c r="C16" i="4"/>
  <c r="N15" i="4"/>
  <c r="N15" i="21" s="1"/>
  <c r="L15" i="4"/>
  <c r="K15" i="4"/>
  <c r="K15" i="21" s="1"/>
  <c r="J15" i="4"/>
  <c r="I15" i="4"/>
  <c r="H15" i="4"/>
  <c r="H15" i="21" s="1"/>
  <c r="G15" i="4"/>
  <c r="G15" i="21" s="1"/>
  <c r="F15" i="4"/>
  <c r="E15" i="4"/>
  <c r="D15" i="4"/>
  <c r="C15" i="4"/>
  <c r="O14" i="4"/>
  <c r="N14" i="4"/>
  <c r="N14" i="21" s="1"/>
  <c r="M14" i="4"/>
  <c r="L14" i="4"/>
  <c r="K14" i="4"/>
  <c r="J14" i="4"/>
  <c r="I14" i="4"/>
  <c r="I14" i="21" s="1"/>
  <c r="H14" i="4"/>
  <c r="G14" i="4"/>
  <c r="G14" i="21" s="1"/>
  <c r="F14" i="4"/>
  <c r="E14" i="4"/>
  <c r="D14" i="4"/>
  <c r="C14" i="4"/>
  <c r="N13" i="4"/>
  <c r="N13" i="21" s="1"/>
  <c r="M13" i="4"/>
  <c r="L13" i="4"/>
  <c r="K13" i="4"/>
  <c r="J13" i="4"/>
  <c r="I13" i="4"/>
  <c r="I13" i="21" s="1"/>
  <c r="H13" i="4"/>
  <c r="G13" i="4"/>
  <c r="G13" i="21" s="1"/>
  <c r="F13" i="4"/>
  <c r="F20" i="4" s="1"/>
  <c r="E13" i="4"/>
  <c r="D13" i="4"/>
  <c r="C13" i="4"/>
  <c r="N12" i="4"/>
  <c r="N12" i="21" s="1"/>
  <c r="L12" i="4"/>
  <c r="K12" i="4"/>
  <c r="J12" i="4"/>
  <c r="I12" i="4"/>
  <c r="I12" i="21" s="1"/>
  <c r="H12" i="4"/>
  <c r="G12" i="4"/>
  <c r="G12" i="21" s="1"/>
  <c r="F12" i="4"/>
  <c r="E12" i="4"/>
  <c r="D12" i="4"/>
  <c r="C12" i="4"/>
  <c r="N11" i="4"/>
  <c r="N11" i="21" s="1"/>
  <c r="L11" i="4"/>
  <c r="K11" i="4"/>
  <c r="K11" i="21" s="1"/>
  <c r="J11" i="4"/>
  <c r="I11" i="4"/>
  <c r="H11" i="4"/>
  <c r="G11" i="4"/>
  <c r="G11" i="21" s="1"/>
  <c r="F11" i="4"/>
  <c r="E11" i="4"/>
  <c r="D11" i="4"/>
  <c r="C11" i="4"/>
  <c r="N10" i="4"/>
  <c r="L10" i="4"/>
  <c r="K10" i="4"/>
  <c r="J10" i="4"/>
  <c r="I10" i="4"/>
  <c r="I10" i="21" s="1"/>
  <c r="H10" i="4"/>
  <c r="H10" i="21" s="1"/>
  <c r="G10" i="4"/>
  <c r="G10" i="21" s="1"/>
  <c r="M10" i="21" s="1"/>
  <c r="F10" i="4"/>
  <c r="E10" i="4"/>
  <c r="D10" i="4"/>
  <c r="C10" i="4"/>
  <c r="N9" i="4"/>
  <c r="N9" i="21" s="1"/>
  <c r="L9" i="4"/>
  <c r="K9" i="4"/>
  <c r="J9" i="4"/>
  <c r="J20" i="4" s="1"/>
  <c r="I9" i="4"/>
  <c r="I9" i="21" s="1"/>
  <c r="H9" i="4"/>
  <c r="H9" i="21" s="1"/>
  <c r="G9" i="4"/>
  <c r="F9" i="4"/>
  <c r="E9" i="4"/>
  <c r="D9" i="4"/>
  <c r="C9" i="4"/>
  <c r="N8" i="4"/>
  <c r="N8" i="21" s="1"/>
  <c r="M8" i="4"/>
  <c r="L8" i="4"/>
  <c r="K8" i="4"/>
  <c r="J8" i="4"/>
  <c r="I8" i="4"/>
  <c r="H8" i="4"/>
  <c r="G8" i="4"/>
  <c r="F8" i="4"/>
  <c r="E8" i="4"/>
  <c r="D8" i="4"/>
  <c r="C8" i="4"/>
  <c r="C20" i="4" s="1"/>
  <c r="J5" i="4"/>
  <c r="G5" i="4"/>
  <c r="N19" i="3"/>
  <c r="N19" i="20" s="1"/>
  <c r="O19" i="20" s="1"/>
  <c r="M19" i="3"/>
  <c r="L19" i="3"/>
  <c r="K19" i="3"/>
  <c r="J19" i="3"/>
  <c r="I19" i="3"/>
  <c r="H19" i="3"/>
  <c r="G19" i="3"/>
  <c r="F19" i="3"/>
  <c r="F19" i="20" s="1"/>
  <c r="E19" i="3"/>
  <c r="D19" i="3"/>
  <c r="C19" i="3"/>
  <c r="C19" i="20" s="1"/>
  <c r="N18" i="3"/>
  <c r="N18" i="20" s="1"/>
  <c r="M18" i="3"/>
  <c r="L18" i="3"/>
  <c r="K18" i="3"/>
  <c r="K18" i="20" s="1"/>
  <c r="J18" i="3"/>
  <c r="I18" i="3"/>
  <c r="I18" i="20" s="1"/>
  <c r="H18" i="3"/>
  <c r="G18" i="3"/>
  <c r="G18" i="20" s="1"/>
  <c r="F18" i="3"/>
  <c r="E18" i="3"/>
  <c r="E18" i="20" s="1"/>
  <c r="D18" i="3"/>
  <c r="D18" i="20" s="1"/>
  <c r="C18" i="3"/>
  <c r="N17" i="3"/>
  <c r="N17" i="20" s="1"/>
  <c r="L17" i="3"/>
  <c r="K17" i="3"/>
  <c r="J17" i="3"/>
  <c r="I17" i="3"/>
  <c r="I17" i="20" s="1"/>
  <c r="H17" i="3"/>
  <c r="G17" i="3"/>
  <c r="G17" i="20" s="1"/>
  <c r="F17" i="3"/>
  <c r="E17" i="3"/>
  <c r="E17" i="20" s="1"/>
  <c r="D17" i="3"/>
  <c r="D17" i="20" s="1"/>
  <c r="C17" i="3"/>
  <c r="C17" i="20" s="1"/>
  <c r="N16" i="3"/>
  <c r="N16" i="20" s="1"/>
  <c r="M16" i="3"/>
  <c r="L16" i="3"/>
  <c r="K16" i="3"/>
  <c r="K16" i="20" s="1"/>
  <c r="J16" i="3"/>
  <c r="I16" i="3"/>
  <c r="I16" i="20" s="1"/>
  <c r="H16" i="3"/>
  <c r="G16" i="3"/>
  <c r="G16" i="20" s="1"/>
  <c r="F16" i="3"/>
  <c r="E16" i="3"/>
  <c r="E16" i="20" s="1"/>
  <c r="D16" i="3"/>
  <c r="D16" i="20" s="1"/>
  <c r="C16" i="3"/>
  <c r="C16" i="20" s="1"/>
  <c r="O15" i="3"/>
  <c r="N15" i="3"/>
  <c r="N15" i="20" s="1"/>
  <c r="M15" i="3"/>
  <c r="L15" i="3"/>
  <c r="K15" i="3"/>
  <c r="K15" i="20" s="1"/>
  <c r="J15" i="3"/>
  <c r="I15" i="3"/>
  <c r="I15" i="20" s="1"/>
  <c r="H15" i="3"/>
  <c r="G15" i="3"/>
  <c r="G15" i="20" s="1"/>
  <c r="M15" i="20" s="1"/>
  <c r="O15" i="20" s="1"/>
  <c r="F15" i="3"/>
  <c r="F15" i="20" s="1"/>
  <c r="E15" i="3"/>
  <c r="E15" i="20" s="1"/>
  <c r="D15" i="3"/>
  <c r="C15" i="3"/>
  <c r="N14" i="3"/>
  <c r="N14" i="20" s="1"/>
  <c r="L14" i="3"/>
  <c r="K14" i="3"/>
  <c r="J14" i="3"/>
  <c r="I14" i="3"/>
  <c r="I14" i="20" s="1"/>
  <c r="H14" i="3"/>
  <c r="G14" i="3"/>
  <c r="G14" i="20" s="1"/>
  <c r="M14" i="20" s="1"/>
  <c r="O14" i="20" s="1"/>
  <c r="F14" i="3"/>
  <c r="F14" i="20" s="1"/>
  <c r="E14" i="3"/>
  <c r="D14" i="3"/>
  <c r="D14" i="20" s="1"/>
  <c r="C14" i="3"/>
  <c r="N13" i="3"/>
  <c r="N13" i="20" s="1"/>
  <c r="L13" i="3"/>
  <c r="K13" i="3"/>
  <c r="K13" i="20" s="1"/>
  <c r="J13" i="3"/>
  <c r="I13" i="3"/>
  <c r="H13" i="3"/>
  <c r="G13" i="3"/>
  <c r="F13" i="3"/>
  <c r="E13" i="3"/>
  <c r="D13" i="3"/>
  <c r="C13" i="3"/>
  <c r="C13" i="20" s="1"/>
  <c r="N12" i="3"/>
  <c r="N12" i="20" s="1"/>
  <c r="M12" i="3"/>
  <c r="L12" i="3"/>
  <c r="K12" i="3"/>
  <c r="K12" i="20" s="1"/>
  <c r="J12" i="3"/>
  <c r="I12" i="3"/>
  <c r="I12" i="20" s="1"/>
  <c r="H12" i="3"/>
  <c r="G12" i="3"/>
  <c r="G12" i="20" s="1"/>
  <c r="F12" i="3"/>
  <c r="F12" i="20" s="1"/>
  <c r="E12" i="3"/>
  <c r="E12" i="20" s="1"/>
  <c r="D12" i="3"/>
  <c r="D12" i="20" s="1"/>
  <c r="C12" i="3"/>
  <c r="C12" i="20" s="1"/>
  <c r="N11" i="3"/>
  <c r="N11" i="20" s="1"/>
  <c r="L11" i="3"/>
  <c r="K11" i="3"/>
  <c r="J11" i="3"/>
  <c r="I11" i="3"/>
  <c r="I11" i="20" s="1"/>
  <c r="H11" i="3"/>
  <c r="G11" i="3"/>
  <c r="F11" i="3"/>
  <c r="F11" i="20" s="1"/>
  <c r="E11" i="3"/>
  <c r="E11" i="20" s="1"/>
  <c r="D11" i="3"/>
  <c r="D11" i="20" s="1"/>
  <c r="C11" i="3"/>
  <c r="C11" i="20" s="1"/>
  <c r="N10" i="3"/>
  <c r="N10" i="20" s="1"/>
  <c r="L10" i="3"/>
  <c r="L20" i="3" s="1"/>
  <c r="K10" i="3"/>
  <c r="J10" i="3"/>
  <c r="I10" i="3"/>
  <c r="I10" i="20" s="1"/>
  <c r="H10" i="3"/>
  <c r="G10" i="3"/>
  <c r="G10" i="20" s="1"/>
  <c r="F10" i="3"/>
  <c r="E10" i="3"/>
  <c r="D10" i="3"/>
  <c r="D10" i="20" s="1"/>
  <c r="C10" i="3"/>
  <c r="C10" i="20" s="1"/>
  <c r="N9" i="3"/>
  <c r="N9" i="20" s="1"/>
  <c r="L9" i="3"/>
  <c r="K9" i="3"/>
  <c r="K9" i="20" s="1"/>
  <c r="J9" i="3"/>
  <c r="I9" i="3"/>
  <c r="I9" i="20" s="1"/>
  <c r="H9" i="3"/>
  <c r="G9" i="3"/>
  <c r="G9" i="20" s="1"/>
  <c r="F9" i="3"/>
  <c r="E9" i="3"/>
  <c r="D9" i="3"/>
  <c r="D9" i="20" s="1"/>
  <c r="C9" i="3"/>
  <c r="N8" i="3"/>
  <c r="N8" i="20" s="1"/>
  <c r="L8" i="3"/>
  <c r="K8" i="3"/>
  <c r="J8" i="3"/>
  <c r="I8" i="3"/>
  <c r="H8" i="3"/>
  <c r="G8" i="3"/>
  <c r="G8" i="20" s="1"/>
  <c r="F8" i="3"/>
  <c r="E8" i="3"/>
  <c r="E8" i="20" s="1"/>
  <c r="D8" i="3"/>
  <c r="D8" i="20" s="1"/>
  <c r="C8" i="3"/>
  <c r="C20" i="3" s="1"/>
  <c r="J5" i="3"/>
  <c r="G5" i="3"/>
  <c r="G5" i="20" s="1"/>
  <c r="N20" i="2"/>
  <c r="C20" i="2"/>
  <c r="N19" i="2"/>
  <c r="L19" i="2"/>
  <c r="K19" i="2"/>
  <c r="J19" i="2"/>
  <c r="I19" i="2"/>
  <c r="H19" i="2"/>
  <c r="G19" i="2"/>
  <c r="F19" i="2"/>
  <c r="E19" i="2"/>
  <c r="D19" i="2"/>
  <c r="C19" i="2"/>
  <c r="N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L15" i="2"/>
  <c r="K15" i="2"/>
  <c r="J15" i="2"/>
  <c r="I15" i="2"/>
  <c r="H15" i="2"/>
  <c r="G15" i="2"/>
  <c r="F15" i="2"/>
  <c r="E15" i="2"/>
  <c r="D15" i="2"/>
  <c r="C15" i="2"/>
  <c r="N14" i="2"/>
  <c r="L14" i="2"/>
  <c r="K14" i="2"/>
  <c r="J14" i="2"/>
  <c r="I14" i="2"/>
  <c r="H14" i="2"/>
  <c r="G14" i="2"/>
  <c r="F14" i="2"/>
  <c r="E14" i="2"/>
  <c r="D14" i="2"/>
  <c r="C14" i="2"/>
  <c r="N13" i="2"/>
  <c r="L13" i="2"/>
  <c r="K13" i="2"/>
  <c r="J13" i="2"/>
  <c r="I13" i="2"/>
  <c r="H13" i="2"/>
  <c r="G13" i="2"/>
  <c r="F13" i="2"/>
  <c r="E13" i="2"/>
  <c r="D13" i="2"/>
  <c r="C13" i="2"/>
  <c r="N12" i="2"/>
  <c r="L12" i="2"/>
  <c r="K12" i="2"/>
  <c r="J12" i="2"/>
  <c r="I12" i="2"/>
  <c r="H12" i="2"/>
  <c r="G12" i="2"/>
  <c r="F12" i="2"/>
  <c r="E12" i="2"/>
  <c r="D12" i="2"/>
  <c r="C12" i="2"/>
  <c r="N11" i="2"/>
  <c r="L11" i="2"/>
  <c r="K11" i="2"/>
  <c r="J11" i="2"/>
  <c r="I11" i="2"/>
  <c r="H11" i="2"/>
  <c r="G11" i="2"/>
  <c r="F11" i="2"/>
  <c r="E11" i="2"/>
  <c r="D11" i="2"/>
  <c r="C11" i="2"/>
  <c r="N10" i="2"/>
  <c r="L10" i="2"/>
  <c r="K10" i="2"/>
  <c r="J10" i="2"/>
  <c r="I10" i="2"/>
  <c r="H10" i="2"/>
  <c r="G10" i="2"/>
  <c r="F10" i="2"/>
  <c r="E10" i="2"/>
  <c r="D10" i="2"/>
  <c r="C10" i="2"/>
  <c r="N9" i="2"/>
  <c r="L9" i="2"/>
  <c r="K9" i="2"/>
  <c r="J9" i="2"/>
  <c r="I9" i="2"/>
  <c r="H9" i="2"/>
  <c r="G9" i="2"/>
  <c r="F9" i="2"/>
  <c r="E9" i="2"/>
  <c r="D9" i="2"/>
  <c r="C9" i="2"/>
  <c r="N8" i="2"/>
  <c r="L8" i="2"/>
  <c r="K8" i="2"/>
  <c r="J8" i="2"/>
  <c r="I8" i="2"/>
  <c r="H8" i="2"/>
  <c r="G8" i="2"/>
  <c r="F8" i="2"/>
  <c r="E8" i="2"/>
  <c r="D8" i="2"/>
  <c r="D20" i="2" s="1"/>
  <c r="C8" i="2"/>
  <c r="I444" i="1"/>
  <c r="G444" i="1"/>
  <c r="F444" i="1"/>
  <c r="L444" i="1" s="1"/>
  <c r="E444" i="1"/>
  <c r="K443" i="1"/>
  <c r="I443" i="1"/>
  <c r="H443" i="1"/>
  <c r="G443" i="1"/>
  <c r="F443" i="1"/>
  <c r="M442" i="1"/>
  <c r="G442" i="1"/>
  <c r="F442" i="1"/>
  <c r="D442" i="1"/>
  <c r="C442" i="1"/>
  <c r="B442" i="1"/>
  <c r="H441" i="1"/>
  <c r="F441" i="1"/>
  <c r="L441" i="1" s="1"/>
  <c r="E441" i="1"/>
  <c r="D441" i="1"/>
  <c r="M440" i="1"/>
  <c r="K440" i="1"/>
  <c r="J440" i="1"/>
  <c r="I440" i="1"/>
  <c r="F440" i="1"/>
  <c r="J439" i="1"/>
  <c r="I439" i="1"/>
  <c r="H439" i="1"/>
  <c r="G439" i="1"/>
  <c r="M438" i="1"/>
  <c r="E438" i="1"/>
  <c r="D438" i="1"/>
  <c r="C438" i="1"/>
  <c r="B438" i="1"/>
  <c r="E437" i="1"/>
  <c r="K436" i="1"/>
  <c r="J436" i="1"/>
  <c r="H436" i="1"/>
  <c r="G436" i="1"/>
  <c r="F436" i="1"/>
  <c r="L436" i="1" s="1"/>
  <c r="E436" i="1"/>
  <c r="B436" i="1"/>
  <c r="M435" i="1"/>
  <c r="N435" i="1" s="1"/>
  <c r="D435" i="1"/>
  <c r="C435" i="1"/>
  <c r="J434" i="1"/>
  <c r="F433" i="1"/>
  <c r="E433" i="1"/>
  <c r="D433" i="1"/>
  <c r="I432" i="1"/>
  <c r="G432" i="1"/>
  <c r="E432" i="1"/>
  <c r="C432" i="1"/>
  <c r="K431" i="1"/>
  <c r="K430" i="1"/>
  <c r="G430" i="1"/>
  <c r="F430" i="1"/>
  <c r="E430" i="1"/>
  <c r="K429" i="1"/>
  <c r="I429" i="1"/>
  <c r="H429" i="1"/>
  <c r="D429" i="1"/>
  <c r="B429" i="1"/>
  <c r="K428" i="1"/>
  <c r="J428" i="1"/>
  <c r="C428" i="1"/>
  <c r="B428" i="1"/>
  <c r="J427" i="1"/>
  <c r="L427" i="1" s="1"/>
  <c r="G427" i="1"/>
  <c r="D427" i="1"/>
  <c r="C427" i="1"/>
  <c r="B427" i="1"/>
  <c r="K426" i="1"/>
  <c r="G426" i="1"/>
  <c r="C426" i="1"/>
  <c r="H425" i="1"/>
  <c r="G425" i="1"/>
  <c r="F425" i="1"/>
  <c r="L425" i="1" s="1"/>
  <c r="E425" i="1"/>
  <c r="D425" i="1"/>
  <c r="C425" i="1"/>
  <c r="B425" i="1"/>
  <c r="G424" i="1"/>
  <c r="G445" i="1" s="1"/>
  <c r="E424" i="1"/>
  <c r="C424" i="1"/>
  <c r="B424" i="1"/>
  <c r="K423" i="1"/>
  <c r="I423" i="1"/>
  <c r="D423" i="1"/>
  <c r="C423" i="1"/>
  <c r="H422" i="1"/>
  <c r="G422" i="1"/>
  <c r="F422" i="1"/>
  <c r="D422" i="1"/>
  <c r="C422" i="1"/>
  <c r="B422" i="1"/>
  <c r="J421" i="1"/>
  <c r="M420" i="1"/>
  <c r="K420" i="1"/>
  <c r="J420" i="1"/>
  <c r="F420" i="1"/>
  <c r="C420" i="1"/>
  <c r="B420" i="1"/>
  <c r="F419" i="1"/>
  <c r="D419" i="1"/>
  <c r="K416" i="1"/>
  <c r="G416" i="1"/>
  <c r="F415" i="1"/>
  <c r="M407" i="1"/>
  <c r="L403" i="1"/>
  <c r="K403" i="1"/>
  <c r="K444" i="1" s="1"/>
  <c r="J403" i="1"/>
  <c r="J444" i="1" s="1"/>
  <c r="I403" i="1"/>
  <c r="H403" i="1"/>
  <c r="H444" i="1" s="1"/>
  <c r="G403" i="1"/>
  <c r="F403" i="1"/>
  <c r="E403" i="1"/>
  <c r="D403" i="1"/>
  <c r="D444" i="1" s="1"/>
  <c r="C403" i="1"/>
  <c r="C444" i="1" s="1"/>
  <c r="B403" i="1"/>
  <c r="B444" i="1" s="1"/>
  <c r="P402" i="1"/>
  <c r="K402" i="1"/>
  <c r="J402" i="1"/>
  <c r="J443" i="1" s="1"/>
  <c r="I402" i="1"/>
  <c r="H402" i="1"/>
  <c r="G402" i="1"/>
  <c r="F402" i="1"/>
  <c r="E402" i="1"/>
  <c r="E443" i="1" s="1"/>
  <c r="D402" i="1"/>
  <c r="D443" i="1" s="1"/>
  <c r="C402" i="1"/>
  <c r="C443" i="1" s="1"/>
  <c r="B402" i="1"/>
  <c r="B443" i="1" s="1"/>
  <c r="P401" i="1"/>
  <c r="M401" i="1"/>
  <c r="K401" i="1"/>
  <c r="K442" i="1" s="1"/>
  <c r="J401" i="1"/>
  <c r="J442" i="1" s="1"/>
  <c r="I401" i="1"/>
  <c r="I442" i="1" s="1"/>
  <c r="H401" i="1"/>
  <c r="G401" i="1"/>
  <c r="F401" i="1"/>
  <c r="E401" i="1"/>
  <c r="E442" i="1" s="1"/>
  <c r="D401" i="1"/>
  <c r="C401" i="1"/>
  <c r="B401" i="1"/>
  <c r="P400" i="1"/>
  <c r="K400" i="1"/>
  <c r="K441" i="1" s="1"/>
  <c r="J400" i="1"/>
  <c r="J441" i="1" s="1"/>
  <c r="I400" i="1"/>
  <c r="I441" i="1" s="1"/>
  <c r="H400" i="1"/>
  <c r="G400" i="1"/>
  <c r="G441" i="1" s="1"/>
  <c r="F400" i="1"/>
  <c r="E400" i="1"/>
  <c r="D400" i="1"/>
  <c r="C400" i="1"/>
  <c r="C441" i="1" s="1"/>
  <c r="B400" i="1"/>
  <c r="B441" i="1" s="1"/>
  <c r="P399" i="1"/>
  <c r="M399" i="1"/>
  <c r="K399" i="1"/>
  <c r="J399" i="1"/>
  <c r="I399" i="1"/>
  <c r="H399" i="1"/>
  <c r="G399" i="1"/>
  <c r="G440" i="1" s="1"/>
  <c r="F399" i="1"/>
  <c r="E399" i="1"/>
  <c r="E440" i="1" s="1"/>
  <c r="D399" i="1"/>
  <c r="D440" i="1" s="1"/>
  <c r="C399" i="1"/>
  <c r="C440" i="1" s="1"/>
  <c r="B399" i="1"/>
  <c r="B440" i="1" s="1"/>
  <c r="K398" i="1"/>
  <c r="K439" i="1" s="1"/>
  <c r="J398" i="1"/>
  <c r="L398" i="1" s="1"/>
  <c r="I398" i="1"/>
  <c r="H398" i="1"/>
  <c r="G398" i="1"/>
  <c r="F398" i="1"/>
  <c r="F439" i="1" s="1"/>
  <c r="E398" i="1"/>
  <c r="E439" i="1" s="1"/>
  <c r="D398" i="1"/>
  <c r="D439" i="1" s="1"/>
  <c r="C398" i="1"/>
  <c r="C439" i="1" s="1"/>
  <c r="B398" i="1"/>
  <c r="B439" i="1" s="1"/>
  <c r="P397" i="1"/>
  <c r="M397" i="1"/>
  <c r="K397" i="1"/>
  <c r="K438" i="1" s="1"/>
  <c r="J397" i="1"/>
  <c r="I397" i="1"/>
  <c r="I438" i="1" s="1"/>
  <c r="H397" i="1"/>
  <c r="H438" i="1" s="1"/>
  <c r="G397" i="1"/>
  <c r="G438" i="1" s="1"/>
  <c r="F397" i="1"/>
  <c r="F438" i="1" s="1"/>
  <c r="E397" i="1"/>
  <c r="D397" i="1"/>
  <c r="C397" i="1"/>
  <c r="B397" i="1"/>
  <c r="K396" i="1"/>
  <c r="K437" i="1" s="1"/>
  <c r="J396" i="1"/>
  <c r="J437" i="1" s="1"/>
  <c r="I396" i="1"/>
  <c r="I437" i="1" s="1"/>
  <c r="H396" i="1"/>
  <c r="H437" i="1" s="1"/>
  <c r="G396" i="1"/>
  <c r="G437" i="1" s="1"/>
  <c r="F396" i="1"/>
  <c r="E396" i="1"/>
  <c r="D396" i="1"/>
  <c r="D437" i="1" s="1"/>
  <c r="C396" i="1"/>
  <c r="C437" i="1" s="1"/>
  <c r="B396" i="1"/>
  <c r="B437" i="1" s="1"/>
  <c r="P395" i="1"/>
  <c r="K395" i="1"/>
  <c r="J395" i="1"/>
  <c r="I395" i="1"/>
  <c r="I436" i="1" s="1"/>
  <c r="H395" i="1"/>
  <c r="G395" i="1"/>
  <c r="F395" i="1"/>
  <c r="L395" i="1" s="1"/>
  <c r="E395" i="1"/>
  <c r="D395" i="1"/>
  <c r="D436" i="1" s="1"/>
  <c r="C395" i="1"/>
  <c r="C436" i="1" s="1"/>
  <c r="B395" i="1"/>
  <c r="P394" i="1"/>
  <c r="M394" i="1"/>
  <c r="N394" i="1" s="1"/>
  <c r="L394" i="1"/>
  <c r="K394" i="1"/>
  <c r="K435" i="1" s="1"/>
  <c r="J394" i="1"/>
  <c r="J435" i="1" s="1"/>
  <c r="I394" i="1"/>
  <c r="I435" i="1" s="1"/>
  <c r="H394" i="1"/>
  <c r="H435" i="1" s="1"/>
  <c r="G394" i="1"/>
  <c r="G435" i="1" s="1"/>
  <c r="F394" i="1"/>
  <c r="F435" i="1" s="1"/>
  <c r="L435" i="1" s="1"/>
  <c r="E394" i="1"/>
  <c r="E435" i="1" s="1"/>
  <c r="D394" i="1"/>
  <c r="C394" i="1"/>
  <c r="B394" i="1"/>
  <c r="B435" i="1" s="1"/>
  <c r="K393" i="1"/>
  <c r="K434" i="1" s="1"/>
  <c r="J393" i="1"/>
  <c r="I393" i="1"/>
  <c r="I434" i="1" s="1"/>
  <c r="H393" i="1"/>
  <c r="H434" i="1" s="1"/>
  <c r="G393" i="1"/>
  <c r="G434" i="1" s="1"/>
  <c r="F393" i="1"/>
  <c r="E393" i="1"/>
  <c r="E434" i="1" s="1"/>
  <c r="D393" i="1"/>
  <c r="D434" i="1" s="1"/>
  <c r="C393" i="1"/>
  <c r="C434" i="1" s="1"/>
  <c r="B393" i="1"/>
  <c r="B434" i="1" s="1"/>
  <c r="K392" i="1"/>
  <c r="K433" i="1" s="1"/>
  <c r="J392" i="1"/>
  <c r="J433" i="1" s="1"/>
  <c r="I392" i="1"/>
  <c r="I433" i="1" s="1"/>
  <c r="H392" i="1"/>
  <c r="H404" i="1" s="1"/>
  <c r="G392" i="1"/>
  <c r="G433" i="1" s="1"/>
  <c r="F392" i="1"/>
  <c r="E392" i="1"/>
  <c r="D392" i="1"/>
  <c r="C392" i="1"/>
  <c r="C433" i="1" s="1"/>
  <c r="B392" i="1"/>
  <c r="B433" i="1" s="1"/>
  <c r="P391" i="1"/>
  <c r="K391" i="1"/>
  <c r="K432" i="1" s="1"/>
  <c r="J391" i="1"/>
  <c r="J432" i="1" s="1"/>
  <c r="I391" i="1"/>
  <c r="H391" i="1"/>
  <c r="G391" i="1"/>
  <c r="F391" i="1"/>
  <c r="F432" i="1" s="1"/>
  <c r="E391" i="1"/>
  <c r="D391" i="1"/>
  <c r="D432" i="1" s="1"/>
  <c r="C391" i="1"/>
  <c r="B391" i="1"/>
  <c r="B432" i="1" s="1"/>
  <c r="P390" i="1"/>
  <c r="K390" i="1"/>
  <c r="J390" i="1"/>
  <c r="J431" i="1" s="1"/>
  <c r="I390" i="1"/>
  <c r="I431" i="1" s="1"/>
  <c r="H390" i="1"/>
  <c r="H431" i="1" s="1"/>
  <c r="G390" i="1"/>
  <c r="G431" i="1" s="1"/>
  <c r="F390" i="1"/>
  <c r="L390" i="1" s="1"/>
  <c r="E390" i="1"/>
  <c r="E431" i="1" s="1"/>
  <c r="D390" i="1"/>
  <c r="D431" i="1" s="1"/>
  <c r="C390" i="1"/>
  <c r="C431" i="1" s="1"/>
  <c r="B390" i="1"/>
  <c r="B431" i="1" s="1"/>
  <c r="L389" i="1"/>
  <c r="K389" i="1"/>
  <c r="J389" i="1"/>
  <c r="J430" i="1" s="1"/>
  <c r="I389" i="1"/>
  <c r="I430" i="1" s="1"/>
  <c r="H389" i="1"/>
  <c r="H430" i="1" s="1"/>
  <c r="G389" i="1"/>
  <c r="F389" i="1"/>
  <c r="E389" i="1"/>
  <c r="D389" i="1"/>
  <c r="D430" i="1" s="1"/>
  <c r="C389" i="1"/>
  <c r="C430" i="1" s="1"/>
  <c r="B389" i="1"/>
  <c r="B430" i="1" s="1"/>
  <c r="K388" i="1"/>
  <c r="J388" i="1"/>
  <c r="J429" i="1" s="1"/>
  <c r="I388" i="1"/>
  <c r="H388" i="1"/>
  <c r="G388" i="1"/>
  <c r="G429" i="1" s="1"/>
  <c r="F388" i="1"/>
  <c r="E388" i="1"/>
  <c r="E429" i="1" s="1"/>
  <c r="D388" i="1"/>
  <c r="C388" i="1"/>
  <c r="C429" i="1" s="1"/>
  <c r="B388" i="1"/>
  <c r="P387" i="1"/>
  <c r="K387" i="1"/>
  <c r="J387" i="1"/>
  <c r="I387" i="1"/>
  <c r="I428" i="1" s="1"/>
  <c r="H387" i="1"/>
  <c r="H428" i="1" s="1"/>
  <c r="G387" i="1"/>
  <c r="G428" i="1" s="1"/>
  <c r="F387" i="1"/>
  <c r="F428" i="1" s="1"/>
  <c r="L428" i="1" s="1"/>
  <c r="E387" i="1"/>
  <c r="E428" i="1" s="1"/>
  <c r="D387" i="1"/>
  <c r="D428" i="1" s="1"/>
  <c r="C387" i="1"/>
  <c r="B387" i="1"/>
  <c r="L386" i="1"/>
  <c r="K386" i="1"/>
  <c r="K427" i="1" s="1"/>
  <c r="J386" i="1"/>
  <c r="I386" i="1"/>
  <c r="I427" i="1" s="1"/>
  <c r="H386" i="1"/>
  <c r="H427" i="1" s="1"/>
  <c r="G386" i="1"/>
  <c r="F386" i="1"/>
  <c r="F427" i="1" s="1"/>
  <c r="E386" i="1"/>
  <c r="E427" i="1" s="1"/>
  <c r="D386" i="1"/>
  <c r="C386" i="1"/>
  <c r="B386" i="1"/>
  <c r="K385" i="1"/>
  <c r="J385" i="1"/>
  <c r="J426" i="1" s="1"/>
  <c r="I385" i="1"/>
  <c r="I426" i="1" s="1"/>
  <c r="H385" i="1"/>
  <c r="H426" i="1" s="1"/>
  <c r="G385" i="1"/>
  <c r="F385" i="1"/>
  <c r="E385" i="1"/>
  <c r="E426" i="1" s="1"/>
  <c r="D385" i="1"/>
  <c r="D426" i="1" s="1"/>
  <c r="C385" i="1"/>
  <c r="B385" i="1"/>
  <c r="B426" i="1" s="1"/>
  <c r="P384" i="1"/>
  <c r="L384" i="1"/>
  <c r="K384" i="1"/>
  <c r="K425" i="1" s="1"/>
  <c r="J384" i="1"/>
  <c r="J425" i="1" s="1"/>
  <c r="I384" i="1"/>
  <c r="I425" i="1" s="1"/>
  <c r="H384" i="1"/>
  <c r="G384" i="1"/>
  <c r="F384" i="1"/>
  <c r="E384" i="1"/>
  <c r="D384" i="1"/>
  <c r="C384" i="1"/>
  <c r="B384" i="1"/>
  <c r="M383" i="1"/>
  <c r="L383" i="1"/>
  <c r="K383" i="1"/>
  <c r="K424" i="1" s="1"/>
  <c r="J383" i="1"/>
  <c r="J424" i="1" s="1"/>
  <c r="I383" i="1"/>
  <c r="I424" i="1" s="1"/>
  <c r="H383" i="1"/>
  <c r="H424" i="1" s="1"/>
  <c r="G383" i="1"/>
  <c r="F383" i="1"/>
  <c r="F424" i="1" s="1"/>
  <c r="L424" i="1" s="1"/>
  <c r="E383" i="1"/>
  <c r="D383" i="1"/>
  <c r="D424" i="1" s="1"/>
  <c r="C383" i="1"/>
  <c r="B383" i="1"/>
  <c r="P382" i="1"/>
  <c r="K382" i="1"/>
  <c r="J382" i="1"/>
  <c r="J423" i="1" s="1"/>
  <c r="I382" i="1"/>
  <c r="H382" i="1"/>
  <c r="H423" i="1" s="1"/>
  <c r="G382" i="1"/>
  <c r="G423" i="1" s="1"/>
  <c r="F382" i="1"/>
  <c r="L382" i="1" s="1"/>
  <c r="E382" i="1"/>
  <c r="E423" i="1" s="1"/>
  <c r="D382" i="1"/>
  <c r="C382" i="1"/>
  <c r="B382" i="1"/>
  <c r="B423" i="1" s="1"/>
  <c r="P381" i="1"/>
  <c r="M381" i="1"/>
  <c r="M422" i="1" s="1"/>
  <c r="K381" i="1"/>
  <c r="K422" i="1" s="1"/>
  <c r="J381" i="1"/>
  <c r="I381" i="1"/>
  <c r="I422" i="1" s="1"/>
  <c r="H381" i="1"/>
  <c r="G381" i="1"/>
  <c r="F381" i="1"/>
  <c r="E381" i="1"/>
  <c r="E422" i="1" s="1"/>
  <c r="D381" i="1"/>
  <c r="C381" i="1"/>
  <c r="B381" i="1"/>
  <c r="P380" i="1"/>
  <c r="K380" i="1"/>
  <c r="K421" i="1" s="1"/>
  <c r="J380" i="1"/>
  <c r="I380" i="1"/>
  <c r="I421" i="1" s="1"/>
  <c r="H380" i="1"/>
  <c r="H421" i="1" s="1"/>
  <c r="G380" i="1"/>
  <c r="G421" i="1" s="1"/>
  <c r="F380" i="1"/>
  <c r="L380" i="1" s="1"/>
  <c r="E380" i="1"/>
  <c r="E421" i="1" s="1"/>
  <c r="D380" i="1"/>
  <c r="D421" i="1" s="1"/>
  <c r="C380" i="1"/>
  <c r="C421" i="1" s="1"/>
  <c r="B380" i="1"/>
  <c r="B421" i="1" s="1"/>
  <c r="P379" i="1"/>
  <c r="M379" i="1"/>
  <c r="K379" i="1"/>
  <c r="J379" i="1"/>
  <c r="I379" i="1"/>
  <c r="I420" i="1" s="1"/>
  <c r="H379" i="1"/>
  <c r="H420" i="1" s="1"/>
  <c r="G379" i="1"/>
  <c r="G420" i="1" s="1"/>
  <c r="F379" i="1"/>
  <c r="E379" i="1"/>
  <c r="E420" i="1" s="1"/>
  <c r="D379" i="1"/>
  <c r="D420" i="1" s="1"/>
  <c r="C379" i="1"/>
  <c r="B379" i="1"/>
  <c r="P378" i="1"/>
  <c r="M378" i="1"/>
  <c r="M419" i="1" s="1"/>
  <c r="K378" i="1"/>
  <c r="J378" i="1"/>
  <c r="I378" i="1"/>
  <c r="I419" i="1" s="1"/>
  <c r="H378" i="1"/>
  <c r="H419" i="1" s="1"/>
  <c r="G378" i="1"/>
  <c r="G419" i="1" s="1"/>
  <c r="F378" i="1"/>
  <c r="F404" i="1" s="1"/>
  <c r="E378" i="1"/>
  <c r="D378" i="1"/>
  <c r="C378" i="1"/>
  <c r="B378" i="1"/>
  <c r="B419" i="1" s="1"/>
  <c r="K375" i="1"/>
  <c r="G375" i="1"/>
  <c r="K373" i="1"/>
  <c r="J373" i="1"/>
  <c r="I373" i="1"/>
  <c r="H373" i="1"/>
  <c r="G373" i="1"/>
  <c r="F373" i="1"/>
  <c r="E373" i="1"/>
  <c r="D373" i="1"/>
  <c r="C373" i="1"/>
  <c r="B373" i="1"/>
  <c r="M372" i="1"/>
  <c r="N19" i="18" s="1"/>
  <c r="L372" i="1"/>
  <c r="M19" i="18" s="1"/>
  <c r="M371" i="1"/>
  <c r="L371" i="1"/>
  <c r="L370" i="1"/>
  <c r="M369" i="1"/>
  <c r="N19" i="16" s="1"/>
  <c r="L369" i="1"/>
  <c r="L368" i="1"/>
  <c r="M19" i="15" s="1"/>
  <c r="M367" i="1"/>
  <c r="P398" i="1" s="1"/>
  <c r="L367" i="1"/>
  <c r="N367" i="1" s="1"/>
  <c r="N366" i="1"/>
  <c r="O19" i="14" s="1"/>
  <c r="L366" i="1"/>
  <c r="M365" i="1"/>
  <c r="N19" i="13" s="1"/>
  <c r="L365" i="1"/>
  <c r="M364" i="1"/>
  <c r="L364" i="1"/>
  <c r="M19" i="29" s="1"/>
  <c r="N363" i="1"/>
  <c r="M363" i="1"/>
  <c r="L363" i="1"/>
  <c r="M362" i="1"/>
  <c r="L362" i="1"/>
  <c r="M18" i="28" s="1"/>
  <c r="M361" i="1"/>
  <c r="N361" i="1" s="1"/>
  <c r="L361" i="1"/>
  <c r="M360" i="1"/>
  <c r="N19" i="11" s="1"/>
  <c r="L360" i="1"/>
  <c r="M19" i="11" s="1"/>
  <c r="N359" i="1"/>
  <c r="M359" i="1"/>
  <c r="L359" i="1"/>
  <c r="M19" i="10" s="1"/>
  <c r="M358" i="1"/>
  <c r="L358" i="1"/>
  <c r="M357" i="1"/>
  <c r="L357" i="1"/>
  <c r="N356" i="1"/>
  <c r="O19" i="8" s="1"/>
  <c r="M356" i="1"/>
  <c r="N19" i="8" s="1"/>
  <c r="L356" i="1"/>
  <c r="M19" i="8" s="1"/>
  <c r="M355" i="1"/>
  <c r="L355" i="1"/>
  <c r="M18" i="19" s="1"/>
  <c r="M354" i="1"/>
  <c r="L354" i="1"/>
  <c r="M19" i="7" s="1"/>
  <c r="M353" i="1"/>
  <c r="N18" i="25" s="1"/>
  <c r="L353" i="1"/>
  <c r="M18" i="25" s="1"/>
  <c r="M352" i="1"/>
  <c r="N18" i="24" s="1"/>
  <c r="L352" i="1"/>
  <c r="M18" i="24" s="1"/>
  <c r="N351" i="1"/>
  <c r="O19" i="5" s="1"/>
  <c r="M351" i="1"/>
  <c r="M382" i="1" s="1"/>
  <c r="N382" i="1" s="1"/>
  <c r="L351" i="1"/>
  <c r="M19" i="5" s="1"/>
  <c r="L350" i="1"/>
  <c r="N349" i="1"/>
  <c r="O18" i="23" s="1"/>
  <c r="M349" i="1"/>
  <c r="N18" i="23" s="1"/>
  <c r="L349" i="1"/>
  <c r="M18" i="23" s="1"/>
  <c r="L348" i="1"/>
  <c r="M19" i="2" s="1"/>
  <c r="N347" i="1"/>
  <c r="L347" i="1"/>
  <c r="K344" i="1"/>
  <c r="G344" i="1"/>
  <c r="K342" i="1"/>
  <c r="J342" i="1"/>
  <c r="I342" i="1"/>
  <c r="H342" i="1"/>
  <c r="G342" i="1"/>
  <c r="F342" i="1"/>
  <c r="E342" i="1"/>
  <c r="D342" i="1"/>
  <c r="C342" i="1"/>
  <c r="B342" i="1"/>
  <c r="M341" i="1"/>
  <c r="L341" i="1"/>
  <c r="M18" i="18" s="1"/>
  <c r="M340" i="1"/>
  <c r="L340" i="1"/>
  <c r="N339" i="1"/>
  <c r="O18" i="17" s="1"/>
  <c r="L339" i="1"/>
  <c r="M338" i="1"/>
  <c r="N18" i="16" s="1"/>
  <c r="L338" i="1"/>
  <c r="L337" i="1"/>
  <c r="M336" i="1"/>
  <c r="L336" i="1"/>
  <c r="N336" i="1" s="1"/>
  <c r="N335" i="1"/>
  <c r="O18" i="14" s="1"/>
  <c r="L335" i="1"/>
  <c r="M18" i="14" s="1"/>
  <c r="M334" i="1"/>
  <c r="N18" i="13" s="1"/>
  <c r="L334" i="1"/>
  <c r="M333" i="1"/>
  <c r="N18" i="29" s="1"/>
  <c r="L333" i="1"/>
  <c r="M18" i="29" s="1"/>
  <c r="M332" i="1"/>
  <c r="N332" i="1" s="1"/>
  <c r="L332" i="1"/>
  <c r="N331" i="1"/>
  <c r="M331" i="1"/>
  <c r="N17" i="28" s="1"/>
  <c r="L331" i="1"/>
  <c r="M330" i="1"/>
  <c r="N330" i="1" s="1"/>
  <c r="L330" i="1"/>
  <c r="M329" i="1"/>
  <c r="L329" i="1"/>
  <c r="N329" i="1" s="1"/>
  <c r="O18" i="11" s="1"/>
  <c r="M328" i="1"/>
  <c r="L328" i="1"/>
  <c r="M327" i="1"/>
  <c r="L327" i="1"/>
  <c r="M326" i="1"/>
  <c r="L326" i="1"/>
  <c r="M325" i="1"/>
  <c r="N18" i="8" s="1"/>
  <c r="L325" i="1"/>
  <c r="M18" i="8" s="1"/>
  <c r="M324" i="1"/>
  <c r="L324" i="1"/>
  <c r="M17" i="19" s="1"/>
  <c r="M323" i="1"/>
  <c r="L323" i="1"/>
  <c r="M18" i="7" s="1"/>
  <c r="M322" i="1"/>
  <c r="L322" i="1"/>
  <c r="M17" i="25" s="1"/>
  <c r="M321" i="1"/>
  <c r="N17" i="24" s="1"/>
  <c r="L321" i="1"/>
  <c r="M17" i="24" s="1"/>
  <c r="M320" i="1"/>
  <c r="L320" i="1"/>
  <c r="M18" i="5" s="1"/>
  <c r="L319" i="1"/>
  <c r="N319" i="1" s="1"/>
  <c r="O18" i="4" s="1"/>
  <c r="M318" i="1"/>
  <c r="L318" i="1"/>
  <c r="M17" i="23" s="1"/>
  <c r="N317" i="1"/>
  <c r="O18" i="2" s="1"/>
  <c r="L317" i="1"/>
  <c r="L316" i="1"/>
  <c r="N316" i="1" s="1"/>
  <c r="K313" i="1"/>
  <c r="G313" i="1"/>
  <c r="K311" i="1"/>
  <c r="J311" i="1"/>
  <c r="I311" i="1"/>
  <c r="H311" i="1"/>
  <c r="G311" i="1"/>
  <c r="F311" i="1"/>
  <c r="E311" i="1"/>
  <c r="D311" i="1"/>
  <c r="C311" i="1"/>
  <c r="B311" i="1"/>
  <c r="M310" i="1"/>
  <c r="L310" i="1"/>
  <c r="M17" i="18" s="1"/>
  <c r="M309" i="1"/>
  <c r="N309" i="1" s="1"/>
  <c r="L309" i="1"/>
  <c r="N308" i="1"/>
  <c r="O17" i="17" s="1"/>
  <c r="L308" i="1"/>
  <c r="M307" i="1"/>
  <c r="N17" i="16" s="1"/>
  <c r="L307" i="1"/>
  <c r="M17" i="16" s="1"/>
  <c r="N306" i="1"/>
  <c r="L306" i="1"/>
  <c r="M305" i="1"/>
  <c r="L305" i="1"/>
  <c r="N305" i="1" s="1"/>
  <c r="N304" i="1"/>
  <c r="O17" i="14" s="1"/>
  <c r="L304" i="1"/>
  <c r="M17" i="14" s="1"/>
  <c r="M303" i="1"/>
  <c r="N303" i="1" s="1"/>
  <c r="O17" i="13" s="1"/>
  <c r="L303" i="1"/>
  <c r="M17" i="13" s="1"/>
  <c r="M302" i="1"/>
  <c r="N17" i="29" s="1"/>
  <c r="L302" i="1"/>
  <c r="M301" i="1"/>
  <c r="L301" i="1"/>
  <c r="M300" i="1"/>
  <c r="L300" i="1"/>
  <c r="N299" i="1"/>
  <c r="M299" i="1"/>
  <c r="L299" i="1"/>
  <c r="M298" i="1"/>
  <c r="L298" i="1"/>
  <c r="M297" i="1"/>
  <c r="N16" i="27" s="1"/>
  <c r="L297" i="1"/>
  <c r="M296" i="1"/>
  <c r="L296" i="1"/>
  <c r="N295" i="1"/>
  <c r="M295" i="1"/>
  <c r="N17" i="9" s="1"/>
  <c r="L295" i="1"/>
  <c r="M17" i="9" s="1"/>
  <c r="M294" i="1"/>
  <c r="N294" i="1" s="1"/>
  <c r="O17" i="8" s="1"/>
  <c r="L294" i="1"/>
  <c r="M293" i="1"/>
  <c r="N16" i="19" s="1"/>
  <c r="L293" i="1"/>
  <c r="M16" i="19" s="1"/>
  <c r="M292" i="1"/>
  <c r="N17" i="7" s="1"/>
  <c r="L292" i="1"/>
  <c r="N292" i="1" s="1"/>
  <c r="O17" i="7" s="1"/>
  <c r="M291" i="1"/>
  <c r="N16" i="25" s="1"/>
  <c r="L291" i="1"/>
  <c r="M290" i="1"/>
  <c r="N16" i="24" s="1"/>
  <c r="L290" i="1"/>
  <c r="M16" i="24" s="1"/>
  <c r="M289" i="1"/>
  <c r="L289" i="1"/>
  <c r="M17" i="5" s="1"/>
  <c r="L288" i="1"/>
  <c r="N288" i="1" s="1"/>
  <c r="O17" i="4" s="1"/>
  <c r="M287" i="1"/>
  <c r="L287" i="1"/>
  <c r="M16" i="23" s="1"/>
  <c r="L286" i="1"/>
  <c r="N286" i="1" s="1"/>
  <c r="O17" i="2" s="1"/>
  <c r="L285" i="1"/>
  <c r="K282" i="1"/>
  <c r="G282" i="1"/>
  <c r="K280" i="1"/>
  <c r="J280" i="1"/>
  <c r="I280" i="1"/>
  <c r="H280" i="1"/>
  <c r="G280" i="1"/>
  <c r="F280" i="1"/>
  <c r="E280" i="1"/>
  <c r="D280" i="1"/>
  <c r="C280" i="1"/>
  <c r="B280" i="1"/>
  <c r="M279" i="1"/>
  <c r="L279" i="1"/>
  <c r="M16" i="18" s="1"/>
  <c r="L278" i="1"/>
  <c r="N278" i="1" s="1"/>
  <c r="L277" i="1"/>
  <c r="N276" i="1"/>
  <c r="O16" i="16" s="1"/>
  <c r="M276" i="1"/>
  <c r="N16" i="16" s="1"/>
  <c r="L276" i="1"/>
  <c r="M16" i="16" s="1"/>
  <c r="L275" i="1"/>
  <c r="M15" i="30" s="1"/>
  <c r="M274" i="1"/>
  <c r="L274" i="1"/>
  <c r="N273" i="1"/>
  <c r="O16" i="14" s="1"/>
  <c r="L273" i="1"/>
  <c r="M272" i="1"/>
  <c r="N16" i="13" s="1"/>
  <c r="L272" i="1"/>
  <c r="M16" i="13" s="1"/>
  <c r="M271" i="1"/>
  <c r="L271" i="1"/>
  <c r="M16" i="29" s="1"/>
  <c r="M270" i="1"/>
  <c r="N270" i="1" s="1"/>
  <c r="L270" i="1"/>
  <c r="M269" i="1"/>
  <c r="L269" i="1"/>
  <c r="N268" i="1"/>
  <c r="M268" i="1"/>
  <c r="L268" i="1"/>
  <c r="M267" i="1"/>
  <c r="N16" i="11" s="1"/>
  <c r="L267" i="1"/>
  <c r="M16" i="11" s="1"/>
  <c r="N266" i="1"/>
  <c r="M266" i="1"/>
  <c r="N16" i="10" s="1"/>
  <c r="L266" i="1"/>
  <c r="M265" i="1"/>
  <c r="N265" i="1" s="1"/>
  <c r="L265" i="1"/>
  <c r="N264" i="1"/>
  <c r="M264" i="1"/>
  <c r="L264" i="1"/>
  <c r="N263" i="1"/>
  <c r="M263" i="1"/>
  <c r="N16" i="8" s="1"/>
  <c r="L263" i="1"/>
  <c r="M16" i="8" s="1"/>
  <c r="M262" i="1"/>
  <c r="L262" i="1"/>
  <c r="M15" i="19" s="1"/>
  <c r="N261" i="1"/>
  <c r="M261" i="1"/>
  <c r="N16" i="7" s="1"/>
  <c r="L261" i="1"/>
  <c r="M260" i="1"/>
  <c r="L260" i="1"/>
  <c r="M259" i="1"/>
  <c r="N259" i="1" s="1"/>
  <c r="O15" i="24" s="1"/>
  <c r="L259" i="1"/>
  <c r="M15" i="24" s="1"/>
  <c r="N258" i="1"/>
  <c r="O16" i="5" s="1"/>
  <c r="M258" i="1"/>
  <c r="L258" i="1"/>
  <c r="L257" i="1"/>
  <c r="M16" i="4" s="1"/>
  <c r="M256" i="1"/>
  <c r="L256" i="1"/>
  <c r="L255" i="1"/>
  <c r="N255" i="1" s="1"/>
  <c r="O16" i="2" s="1"/>
  <c r="N254" i="1"/>
  <c r="O16" i="3" s="1"/>
  <c r="L254" i="1"/>
  <c r="K251" i="1"/>
  <c r="G251" i="1"/>
  <c r="K249" i="1"/>
  <c r="J249" i="1"/>
  <c r="I249" i="1"/>
  <c r="H249" i="1"/>
  <c r="G249" i="1"/>
  <c r="F249" i="1"/>
  <c r="E249" i="1"/>
  <c r="D249" i="1"/>
  <c r="C249" i="1"/>
  <c r="B249" i="1"/>
  <c r="M248" i="1"/>
  <c r="N15" i="18" s="1"/>
  <c r="L248" i="1"/>
  <c r="M15" i="18" s="1"/>
  <c r="M247" i="1"/>
  <c r="N247" i="1" s="1"/>
  <c r="L247" i="1"/>
  <c r="N246" i="1"/>
  <c r="L246" i="1"/>
  <c r="M15" i="17" s="1"/>
  <c r="M245" i="1"/>
  <c r="L245" i="1"/>
  <c r="M15" i="16" s="1"/>
  <c r="L244" i="1"/>
  <c r="M15" i="15" s="1"/>
  <c r="M243" i="1"/>
  <c r="L243" i="1"/>
  <c r="N243" i="1" s="1"/>
  <c r="L242" i="1"/>
  <c r="M241" i="1"/>
  <c r="N15" i="13" s="1"/>
  <c r="L241" i="1"/>
  <c r="M15" i="13" s="1"/>
  <c r="M240" i="1"/>
  <c r="N15" i="29" s="1"/>
  <c r="L240" i="1"/>
  <c r="M15" i="29" s="1"/>
  <c r="M239" i="1"/>
  <c r="L239" i="1"/>
  <c r="M238" i="1"/>
  <c r="N15" i="12" s="1"/>
  <c r="L238" i="1"/>
  <c r="M237" i="1"/>
  <c r="N237" i="1" s="1"/>
  <c r="L237" i="1"/>
  <c r="M236" i="1"/>
  <c r="N15" i="11" s="1"/>
  <c r="L236" i="1"/>
  <c r="M15" i="11" s="1"/>
  <c r="M235" i="1"/>
  <c r="N14" i="27" s="1"/>
  <c r="L235" i="1"/>
  <c r="N235" i="1" s="1"/>
  <c r="M234" i="1"/>
  <c r="L234" i="1"/>
  <c r="M233" i="1"/>
  <c r="N233" i="1" s="1"/>
  <c r="L233" i="1"/>
  <c r="M14" i="26" s="1"/>
  <c r="N232" i="1"/>
  <c r="O15" i="8" s="1"/>
  <c r="M232" i="1"/>
  <c r="N15" i="8" s="1"/>
  <c r="L232" i="1"/>
  <c r="N231" i="1"/>
  <c r="O14" i="19" s="1"/>
  <c r="M231" i="1"/>
  <c r="L231" i="1"/>
  <c r="M14" i="19" s="1"/>
  <c r="M230" i="1"/>
  <c r="L230" i="1"/>
  <c r="M229" i="1"/>
  <c r="L229" i="1"/>
  <c r="M14" i="25" s="1"/>
  <c r="M228" i="1"/>
  <c r="N14" i="24" s="1"/>
  <c r="L228" i="1"/>
  <c r="M14" i="24" s="1"/>
  <c r="M227" i="1"/>
  <c r="L227" i="1"/>
  <c r="M15" i="5" s="1"/>
  <c r="L226" i="1"/>
  <c r="M225" i="1"/>
  <c r="L225" i="1"/>
  <c r="M14" i="23" s="1"/>
  <c r="N224" i="1"/>
  <c r="L224" i="1"/>
  <c r="M15" i="2" s="1"/>
  <c r="N223" i="1"/>
  <c r="L223" i="1"/>
  <c r="K220" i="1"/>
  <c r="G220" i="1"/>
  <c r="K218" i="1"/>
  <c r="J218" i="1"/>
  <c r="I218" i="1"/>
  <c r="H218" i="1"/>
  <c r="G218" i="1"/>
  <c r="F218" i="1"/>
  <c r="E218" i="1"/>
  <c r="D218" i="1"/>
  <c r="C218" i="1"/>
  <c r="B218" i="1"/>
  <c r="M217" i="1"/>
  <c r="N14" i="18" s="1"/>
  <c r="L217" i="1"/>
  <c r="M14" i="18" s="1"/>
  <c r="M216" i="1"/>
  <c r="L216" i="1"/>
  <c r="N216" i="1" s="1"/>
  <c r="N215" i="1"/>
  <c r="L215" i="1"/>
  <c r="M214" i="1"/>
  <c r="L214" i="1"/>
  <c r="M14" i="16" s="1"/>
  <c r="N213" i="1"/>
  <c r="L213" i="1"/>
  <c r="M14" i="15" s="1"/>
  <c r="M212" i="1"/>
  <c r="N212" i="1" s="1"/>
  <c r="L212" i="1"/>
  <c r="L211" i="1"/>
  <c r="M14" i="14" s="1"/>
  <c r="M210" i="1"/>
  <c r="N14" i="13" s="1"/>
  <c r="L210" i="1"/>
  <c r="M14" i="13" s="1"/>
  <c r="M209" i="1"/>
  <c r="N14" i="29" s="1"/>
  <c r="L209" i="1"/>
  <c r="M208" i="1"/>
  <c r="L208" i="1"/>
  <c r="M207" i="1"/>
  <c r="N14" i="12" s="1"/>
  <c r="L207" i="1"/>
  <c r="M206" i="1"/>
  <c r="N206" i="1" s="1"/>
  <c r="L206" i="1"/>
  <c r="N205" i="1"/>
  <c r="O14" i="11" s="1"/>
  <c r="M205" i="1"/>
  <c r="N14" i="11" s="1"/>
  <c r="L205" i="1"/>
  <c r="M14" i="11" s="1"/>
  <c r="M204" i="1"/>
  <c r="L204" i="1"/>
  <c r="N204" i="1" s="1"/>
  <c r="M203" i="1"/>
  <c r="N203" i="1" s="1"/>
  <c r="L203" i="1"/>
  <c r="N202" i="1"/>
  <c r="O13" i="26" s="1"/>
  <c r="M202" i="1"/>
  <c r="L202" i="1"/>
  <c r="M14" i="9" s="1"/>
  <c r="M201" i="1"/>
  <c r="N14" i="8" s="1"/>
  <c r="L201" i="1"/>
  <c r="M14" i="8" s="1"/>
  <c r="M200" i="1"/>
  <c r="N13" i="19" s="1"/>
  <c r="L200" i="1"/>
  <c r="N200" i="1" s="1"/>
  <c r="O13" i="19" s="1"/>
  <c r="M199" i="1"/>
  <c r="N14" i="7" s="1"/>
  <c r="L199" i="1"/>
  <c r="N198" i="1"/>
  <c r="O13" i="25" s="1"/>
  <c r="M198" i="1"/>
  <c r="N13" i="25" s="1"/>
  <c r="L198" i="1"/>
  <c r="M13" i="25" s="1"/>
  <c r="M197" i="1"/>
  <c r="N197" i="1" s="1"/>
  <c r="L197" i="1"/>
  <c r="M196" i="1"/>
  <c r="N196" i="1" s="1"/>
  <c r="O14" i="5" s="1"/>
  <c r="L196" i="1"/>
  <c r="N195" i="1"/>
  <c r="L195" i="1"/>
  <c r="M194" i="1"/>
  <c r="L194" i="1"/>
  <c r="M13" i="23" s="1"/>
  <c r="N193" i="1"/>
  <c r="O14" i="2" s="1"/>
  <c r="L193" i="1"/>
  <c r="M14" i="2" s="1"/>
  <c r="L192" i="1"/>
  <c r="K189" i="1"/>
  <c r="G189" i="1"/>
  <c r="K187" i="1"/>
  <c r="J187" i="1"/>
  <c r="I187" i="1"/>
  <c r="H187" i="1"/>
  <c r="G187" i="1"/>
  <c r="F187" i="1"/>
  <c r="E187" i="1"/>
  <c r="D187" i="1"/>
  <c r="C187" i="1"/>
  <c r="B187" i="1"/>
  <c r="M186" i="1"/>
  <c r="L186" i="1"/>
  <c r="M185" i="1"/>
  <c r="N185" i="1" s="1"/>
  <c r="L185" i="1"/>
  <c r="L184" i="1"/>
  <c r="M183" i="1"/>
  <c r="N13" i="16" s="1"/>
  <c r="L183" i="1"/>
  <c r="M13" i="16" s="1"/>
  <c r="L182" i="1"/>
  <c r="N181" i="1"/>
  <c r="M181" i="1"/>
  <c r="L181" i="1"/>
  <c r="N180" i="1"/>
  <c r="O13" i="14" s="1"/>
  <c r="L180" i="1"/>
  <c r="M13" i="14" s="1"/>
  <c r="M179" i="1"/>
  <c r="N13" i="13" s="1"/>
  <c r="L179" i="1"/>
  <c r="M13" i="13" s="1"/>
  <c r="N178" i="1"/>
  <c r="O13" i="29" s="1"/>
  <c r="M178" i="1"/>
  <c r="N13" i="29" s="1"/>
  <c r="L178" i="1"/>
  <c r="M177" i="1"/>
  <c r="L177" i="1"/>
  <c r="N177" i="1" s="1"/>
  <c r="M176" i="1"/>
  <c r="N12" i="28" s="1"/>
  <c r="L176" i="1"/>
  <c r="M175" i="1"/>
  <c r="L175" i="1"/>
  <c r="N175" i="1" s="1"/>
  <c r="M174" i="1"/>
  <c r="L174" i="1"/>
  <c r="M173" i="1"/>
  <c r="L173" i="1"/>
  <c r="M172" i="1"/>
  <c r="L172" i="1"/>
  <c r="N172" i="1" s="1"/>
  <c r="N171" i="1"/>
  <c r="O12" i="26" s="1"/>
  <c r="M171" i="1"/>
  <c r="L171" i="1"/>
  <c r="M12" i="26" s="1"/>
  <c r="M170" i="1"/>
  <c r="L170" i="1"/>
  <c r="M13" i="8" s="1"/>
  <c r="M169" i="1"/>
  <c r="L169" i="1"/>
  <c r="M12" i="19" s="1"/>
  <c r="N168" i="1"/>
  <c r="O13" i="7" s="1"/>
  <c r="M168" i="1"/>
  <c r="N13" i="7" s="1"/>
  <c r="L168" i="1"/>
  <c r="M13" i="7" s="1"/>
  <c r="M167" i="1"/>
  <c r="M384" i="1" s="1"/>
  <c r="L167" i="1"/>
  <c r="M12" i="25" s="1"/>
  <c r="M166" i="1"/>
  <c r="M187" i="1" s="1"/>
  <c r="L166" i="1"/>
  <c r="M12" i="24" s="1"/>
  <c r="M165" i="1"/>
  <c r="L165" i="1"/>
  <c r="M13" i="5" s="1"/>
  <c r="L164" i="1"/>
  <c r="N164" i="1" s="1"/>
  <c r="O13" i="4" s="1"/>
  <c r="M163" i="1"/>
  <c r="L163" i="1"/>
  <c r="M12" i="23" s="1"/>
  <c r="L162" i="1"/>
  <c r="N162" i="1" s="1"/>
  <c r="O13" i="2" s="1"/>
  <c r="N161" i="1"/>
  <c r="O13" i="3" s="1"/>
  <c r="L161" i="1"/>
  <c r="M13" i="3" s="1"/>
  <c r="K158" i="1"/>
  <c r="G158" i="1"/>
  <c r="K156" i="1"/>
  <c r="J156" i="1"/>
  <c r="I156" i="1"/>
  <c r="H156" i="1"/>
  <c r="G156" i="1"/>
  <c r="F156" i="1"/>
  <c r="E156" i="1"/>
  <c r="D156" i="1"/>
  <c r="C156" i="1"/>
  <c r="B156" i="1"/>
  <c r="N155" i="1"/>
  <c r="O12" i="18" s="1"/>
  <c r="M155" i="1"/>
  <c r="N12" i="18" s="1"/>
  <c r="L155" i="1"/>
  <c r="M12" i="18" s="1"/>
  <c r="M154" i="1"/>
  <c r="N154" i="1" s="1"/>
  <c r="L154" i="1"/>
  <c r="L153" i="1"/>
  <c r="N152" i="1"/>
  <c r="O12" i="16" s="1"/>
  <c r="M152" i="1"/>
  <c r="L152" i="1"/>
  <c r="N151" i="1"/>
  <c r="L151" i="1"/>
  <c r="M11" i="30" s="1"/>
  <c r="M150" i="1"/>
  <c r="L150" i="1"/>
  <c r="L149" i="1"/>
  <c r="M12" i="14" s="1"/>
  <c r="M148" i="1"/>
  <c r="L148" i="1"/>
  <c r="M12" i="13" s="1"/>
  <c r="M147" i="1"/>
  <c r="N12" i="29" s="1"/>
  <c r="L147" i="1"/>
  <c r="M12" i="29" s="1"/>
  <c r="M146" i="1"/>
  <c r="L146" i="1"/>
  <c r="M145" i="1"/>
  <c r="L145" i="1"/>
  <c r="M144" i="1"/>
  <c r="L144" i="1"/>
  <c r="M143" i="1"/>
  <c r="L143" i="1"/>
  <c r="M12" i="11" s="1"/>
  <c r="M142" i="1"/>
  <c r="N142" i="1" s="1"/>
  <c r="L142" i="1"/>
  <c r="M11" i="27" s="1"/>
  <c r="M141" i="1"/>
  <c r="N141" i="1" s="1"/>
  <c r="L141" i="1"/>
  <c r="N140" i="1"/>
  <c r="M140" i="1"/>
  <c r="N12" i="9" s="1"/>
  <c r="L140" i="1"/>
  <c r="N139" i="1"/>
  <c r="M139" i="1"/>
  <c r="L139" i="1"/>
  <c r="M12" i="8" s="1"/>
  <c r="N138" i="1"/>
  <c r="O11" i="19" s="1"/>
  <c r="M138" i="1"/>
  <c r="L138" i="1"/>
  <c r="M137" i="1"/>
  <c r="N12" i="7" s="1"/>
  <c r="L137" i="1"/>
  <c r="M136" i="1"/>
  <c r="L136" i="1"/>
  <c r="M11" i="25" s="1"/>
  <c r="N135" i="1"/>
  <c r="O11" i="24" s="1"/>
  <c r="M135" i="1"/>
  <c r="N11" i="24" s="1"/>
  <c r="L135" i="1"/>
  <c r="M11" i="24" s="1"/>
  <c r="M134" i="1"/>
  <c r="L134" i="1"/>
  <c r="M12" i="5" s="1"/>
  <c r="N133" i="1"/>
  <c r="O12" i="4" s="1"/>
  <c r="L133" i="1"/>
  <c r="M12" i="4" s="1"/>
  <c r="N132" i="1"/>
  <c r="O11" i="23" s="1"/>
  <c r="M132" i="1"/>
  <c r="N11" i="23" s="1"/>
  <c r="L132" i="1"/>
  <c r="N131" i="1"/>
  <c r="O12" i="2" s="1"/>
  <c r="L131" i="1"/>
  <c r="M12" i="2" s="1"/>
  <c r="L130" i="1"/>
  <c r="K127" i="1"/>
  <c r="G127" i="1"/>
  <c r="K125" i="1"/>
  <c r="J125" i="1"/>
  <c r="I125" i="1"/>
  <c r="H125" i="1"/>
  <c r="G125" i="1"/>
  <c r="F125" i="1"/>
  <c r="E125" i="1"/>
  <c r="D125" i="1"/>
  <c r="C125" i="1"/>
  <c r="B125" i="1"/>
  <c r="M124" i="1"/>
  <c r="N11" i="18" s="1"/>
  <c r="L124" i="1"/>
  <c r="M123" i="1"/>
  <c r="L123" i="1"/>
  <c r="L122" i="1"/>
  <c r="M121" i="1"/>
  <c r="N121" i="1" s="1"/>
  <c r="O11" i="16" s="1"/>
  <c r="L121" i="1"/>
  <c r="M11" i="16" s="1"/>
  <c r="L120" i="1"/>
  <c r="N119" i="1"/>
  <c r="M119" i="1"/>
  <c r="L119" i="1"/>
  <c r="N118" i="1"/>
  <c r="O11" i="14" s="1"/>
  <c r="L118" i="1"/>
  <c r="M11" i="14" s="1"/>
  <c r="M117" i="1"/>
  <c r="L117" i="1"/>
  <c r="M11" i="13" s="1"/>
  <c r="N116" i="1"/>
  <c r="O11" i="29" s="1"/>
  <c r="M116" i="1"/>
  <c r="N11" i="29" s="1"/>
  <c r="L116" i="1"/>
  <c r="M11" i="29" s="1"/>
  <c r="N115" i="1"/>
  <c r="M115" i="1"/>
  <c r="L115" i="1"/>
  <c r="M114" i="1"/>
  <c r="N11" i="12" s="1"/>
  <c r="L114" i="1"/>
  <c r="M113" i="1"/>
  <c r="L113" i="1"/>
  <c r="M112" i="1"/>
  <c r="N11" i="11" s="1"/>
  <c r="L112" i="1"/>
  <c r="M11" i="11" s="1"/>
  <c r="N111" i="1"/>
  <c r="M111" i="1"/>
  <c r="L111" i="1"/>
  <c r="M11" i="10" s="1"/>
  <c r="M110" i="1"/>
  <c r="N110" i="1" s="1"/>
  <c r="L110" i="1"/>
  <c r="M109" i="1"/>
  <c r="N10" i="26" s="1"/>
  <c r="L109" i="1"/>
  <c r="M108" i="1"/>
  <c r="N11" i="8" s="1"/>
  <c r="L108" i="1"/>
  <c r="M11" i="8" s="1"/>
  <c r="M107" i="1"/>
  <c r="N10" i="19" s="1"/>
  <c r="L107" i="1"/>
  <c r="M10" i="19" s="1"/>
  <c r="M106" i="1"/>
  <c r="L106" i="1"/>
  <c r="M11" i="7" s="1"/>
  <c r="M105" i="1"/>
  <c r="L105" i="1"/>
  <c r="M10" i="25" s="1"/>
  <c r="M104" i="1"/>
  <c r="N10" i="24" s="1"/>
  <c r="L104" i="1"/>
  <c r="M10" i="24" s="1"/>
  <c r="M103" i="1"/>
  <c r="L103" i="1"/>
  <c r="L102" i="1"/>
  <c r="M11" i="4" s="1"/>
  <c r="N101" i="1"/>
  <c r="O10" i="23" s="1"/>
  <c r="M101" i="1"/>
  <c r="N10" i="23" s="1"/>
  <c r="L101" i="1"/>
  <c r="M10" i="23" s="1"/>
  <c r="L100" i="1"/>
  <c r="M11" i="2" s="1"/>
  <c r="N99" i="1"/>
  <c r="O11" i="3" s="1"/>
  <c r="L99" i="1"/>
  <c r="M11" i="3" s="1"/>
  <c r="K96" i="1"/>
  <c r="G96" i="1"/>
  <c r="K94" i="1"/>
  <c r="J94" i="1"/>
  <c r="I94" i="1"/>
  <c r="H94" i="1"/>
  <c r="G94" i="1"/>
  <c r="F94" i="1"/>
  <c r="E94" i="1"/>
  <c r="D94" i="1"/>
  <c r="C94" i="1"/>
  <c r="B94" i="1"/>
  <c r="M93" i="1"/>
  <c r="N10" i="18" s="1"/>
  <c r="L93" i="1"/>
  <c r="M92" i="1"/>
  <c r="L92" i="1"/>
  <c r="N92" i="1" s="1"/>
  <c r="L91" i="1"/>
  <c r="M10" i="17" s="1"/>
  <c r="M90" i="1"/>
  <c r="L90" i="1"/>
  <c r="M10" i="16" s="1"/>
  <c r="L89" i="1"/>
  <c r="N88" i="1"/>
  <c r="M88" i="1"/>
  <c r="L88" i="1"/>
  <c r="L87" i="1"/>
  <c r="N87" i="1" s="1"/>
  <c r="O10" i="14" s="1"/>
  <c r="M86" i="1"/>
  <c r="L86" i="1"/>
  <c r="N86" i="1" s="1"/>
  <c r="O10" i="13" s="1"/>
  <c r="M85" i="1"/>
  <c r="N10" i="29" s="1"/>
  <c r="L85" i="1"/>
  <c r="M10" i="29" s="1"/>
  <c r="M84" i="1"/>
  <c r="L84" i="1"/>
  <c r="N84" i="1" s="1"/>
  <c r="M83" i="1"/>
  <c r="L83" i="1"/>
  <c r="M82" i="1"/>
  <c r="L82" i="1"/>
  <c r="M81" i="1"/>
  <c r="N81" i="1" s="1"/>
  <c r="O10" i="11" s="1"/>
  <c r="L81" i="1"/>
  <c r="M80" i="1"/>
  <c r="L80" i="1"/>
  <c r="M79" i="1"/>
  <c r="L79" i="1"/>
  <c r="L94" i="1" s="1"/>
  <c r="M78" i="1"/>
  <c r="L78" i="1"/>
  <c r="M77" i="1"/>
  <c r="N77" i="1" s="1"/>
  <c r="O10" i="8" s="1"/>
  <c r="L77" i="1"/>
  <c r="M76" i="1"/>
  <c r="N9" i="19" s="1"/>
  <c r="L76" i="1"/>
  <c r="M9" i="19" s="1"/>
  <c r="M75" i="1"/>
  <c r="N10" i="7" s="1"/>
  <c r="L75" i="1"/>
  <c r="M10" i="7" s="1"/>
  <c r="M74" i="1"/>
  <c r="L74" i="1"/>
  <c r="M9" i="25" s="1"/>
  <c r="N73" i="1"/>
  <c r="O9" i="24" s="1"/>
  <c r="M73" i="1"/>
  <c r="N9" i="24" s="1"/>
  <c r="L73" i="1"/>
  <c r="M9" i="24" s="1"/>
  <c r="M72" i="1"/>
  <c r="N72" i="1" s="1"/>
  <c r="O10" i="5" s="1"/>
  <c r="L72" i="1"/>
  <c r="L71" i="1"/>
  <c r="M10" i="4" s="1"/>
  <c r="N70" i="1"/>
  <c r="O9" i="23" s="1"/>
  <c r="M70" i="1"/>
  <c r="N9" i="23" s="1"/>
  <c r="L70" i="1"/>
  <c r="M9" i="23" s="1"/>
  <c r="L69" i="1"/>
  <c r="M10" i="2" s="1"/>
  <c r="L68" i="1"/>
  <c r="M10" i="3" s="1"/>
  <c r="K65" i="1"/>
  <c r="G65" i="1"/>
  <c r="K63" i="1"/>
  <c r="J63" i="1"/>
  <c r="I63" i="1"/>
  <c r="H63" i="1"/>
  <c r="G63" i="1"/>
  <c r="F63" i="1"/>
  <c r="E63" i="1"/>
  <c r="D63" i="1"/>
  <c r="C63" i="1"/>
  <c r="B63" i="1"/>
  <c r="M62" i="1"/>
  <c r="N9" i="18" s="1"/>
  <c r="L62" i="1"/>
  <c r="M9" i="18" s="1"/>
  <c r="M61" i="1"/>
  <c r="N61" i="1" s="1"/>
  <c r="L61" i="1"/>
  <c r="L60" i="1"/>
  <c r="M9" i="17" s="1"/>
  <c r="M59" i="1"/>
  <c r="L59" i="1"/>
  <c r="M9" i="16" s="1"/>
  <c r="N58" i="1"/>
  <c r="L58" i="1"/>
  <c r="N57" i="1"/>
  <c r="M57" i="1"/>
  <c r="L57" i="1"/>
  <c r="N56" i="1"/>
  <c r="O9" i="14" s="1"/>
  <c r="L56" i="1"/>
  <c r="M9" i="14" s="1"/>
  <c r="N55" i="1"/>
  <c r="O9" i="13" s="1"/>
  <c r="M55" i="1"/>
  <c r="N9" i="13" s="1"/>
  <c r="L55" i="1"/>
  <c r="M9" i="13" s="1"/>
  <c r="M54" i="1"/>
  <c r="L54" i="1"/>
  <c r="M9" i="29" s="1"/>
  <c r="M53" i="1"/>
  <c r="N53" i="1" s="1"/>
  <c r="L53" i="1"/>
  <c r="M52" i="1"/>
  <c r="N8" i="28" s="1"/>
  <c r="L52" i="1"/>
  <c r="M51" i="1"/>
  <c r="N51" i="1" s="1"/>
  <c r="L51" i="1"/>
  <c r="N50" i="1"/>
  <c r="O9" i="11" s="1"/>
  <c r="M50" i="1"/>
  <c r="L50" i="1"/>
  <c r="M9" i="11" s="1"/>
  <c r="M49" i="1"/>
  <c r="L49" i="1"/>
  <c r="N48" i="1"/>
  <c r="M48" i="1"/>
  <c r="L48" i="1"/>
  <c r="M47" i="1"/>
  <c r="L47" i="1"/>
  <c r="M46" i="1"/>
  <c r="N46" i="1" s="1"/>
  <c r="O9" i="8" s="1"/>
  <c r="L46" i="1"/>
  <c r="M9" i="8" s="1"/>
  <c r="M45" i="1"/>
  <c r="L45" i="1"/>
  <c r="M8" i="19" s="1"/>
  <c r="M44" i="1"/>
  <c r="N9" i="7" s="1"/>
  <c r="L44" i="1"/>
  <c r="N43" i="1"/>
  <c r="O8" i="25" s="1"/>
  <c r="M43" i="1"/>
  <c r="N8" i="25" s="1"/>
  <c r="L43" i="1"/>
  <c r="M8" i="25" s="1"/>
  <c r="M42" i="1"/>
  <c r="N8" i="24" s="1"/>
  <c r="L42" i="1"/>
  <c r="M41" i="1"/>
  <c r="N9" i="5" s="1"/>
  <c r="L41" i="1"/>
  <c r="M9" i="5" s="1"/>
  <c r="L40" i="1"/>
  <c r="M39" i="1"/>
  <c r="N39" i="1" s="1"/>
  <c r="O8" i="23" s="1"/>
  <c r="L39" i="1"/>
  <c r="M8" i="23" s="1"/>
  <c r="L38" i="1"/>
  <c r="L37" i="1"/>
  <c r="M9" i="3" s="1"/>
  <c r="K34" i="1"/>
  <c r="G34" i="1"/>
  <c r="K32" i="1"/>
  <c r="J32" i="1"/>
  <c r="I32" i="1"/>
  <c r="H32" i="1"/>
  <c r="G32" i="1"/>
  <c r="F32" i="1"/>
  <c r="E32" i="1"/>
  <c r="D32" i="1"/>
  <c r="C32" i="1"/>
  <c r="B32" i="1"/>
  <c r="M31" i="1"/>
  <c r="N8" i="18" s="1"/>
  <c r="L31" i="1"/>
  <c r="M8" i="18" s="1"/>
  <c r="M30" i="1"/>
  <c r="N30" i="1" s="1"/>
  <c r="L30" i="1"/>
  <c r="L29" i="1"/>
  <c r="N29" i="1" s="1"/>
  <c r="O8" i="17" s="1"/>
  <c r="N28" i="1"/>
  <c r="O8" i="16" s="1"/>
  <c r="M28" i="1"/>
  <c r="N8" i="16" s="1"/>
  <c r="L28" i="1"/>
  <c r="M8" i="16" s="1"/>
  <c r="N27" i="1"/>
  <c r="L27" i="1"/>
  <c r="N26" i="1"/>
  <c r="M26" i="1"/>
  <c r="L26" i="1"/>
  <c r="N25" i="1"/>
  <c r="O8" i="14" s="1"/>
  <c r="L25" i="1"/>
  <c r="M8" i="14" s="1"/>
  <c r="N24" i="1"/>
  <c r="O8" i="13" s="1"/>
  <c r="M24" i="1"/>
  <c r="N8" i="13" s="1"/>
  <c r="L24" i="1"/>
  <c r="M23" i="1"/>
  <c r="L23" i="1"/>
  <c r="M22" i="1"/>
  <c r="N19" i="6" s="1"/>
  <c r="L22" i="1"/>
  <c r="M19" i="6" s="1"/>
  <c r="M21" i="1"/>
  <c r="N8" i="12" s="1"/>
  <c r="L21" i="1"/>
  <c r="M20" i="1"/>
  <c r="N17" i="6" s="1"/>
  <c r="L20" i="1"/>
  <c r="M17" i="6" s="1"/>
  <c r="M19" i="1"/>
  <c r="L19" i="1"/>
  <c r="N18" i="1"/>
  <c r="M18" i="1"/>
  <c r="N7" i="27" s="1"/>
  <c r="L18" i="1"/>
  <c r="M15" i="6" s="1"/>
  <c r="M17" i="1"/>
  <c r="N14" i="6" s="1"/>
  <c r="L17" i="1"/>
  <c r="M16" i="1"/>
  <c r="N7" i="26" s="1"/>
  <c r="L16" i="1"/>
  <c r="M15" i="1"/>
  <c r="L15" i="1"/>
  <c r="N14" i="1"/>
  <c r="M14" i="1"/>
  <c r="N11" i="6" s="1"/>
  <c r="L14" i="1"/>
  <c r="M13" i="1"/>
  <c r="N10" i="6" s="1"/>
  <c r="L13" i="1"/>
  <c r="M12" i="1"/>
  <c r="N12" i="1" s="1"/>
  <c r="L12" i="1"/>
  <c r="N11" i="1"/>
  <c r="M11" i="1"/>
  <c r="N7" i="24" s="1"/>
  <c r="L11" i="1"/>
  <c r="M10" i="1"/>
  <c r="L10" i="1"/>
  <c r="M8" i="5" s="1"/>
  <c r="M20" i="5" s="1"/>
  <c r="N9" i="1"/>
  <c r="O8" i="4" s="1"/>
  <c r="L9" i="1"/>
  <c r="M8" i="1"/>
  <c r="L8" i="1"/>
  <c r="M7" i="23" s="1"/>
  <c r="N7" i="1"/>
  <c r="O8" i="2" s="1"/>
  <c r="L7" i="1"/>
  <c r="M8" i="2" s="1"/>
  <c r="L6" i="1"/>
  <c r="M8" i="3" s="1"/>
  <c r="K3" i="1"/>
  <c r="G3" i="1"/>
  <c r="O11" i="27" l="1"/>
  <c r="O12" i="10"/>
  <c r="M425" i="1"/>
  <c r="N425" i="1" s="1"/>
  <c r="N384" i="1"/>
  <c r="O14" i="26"/>
  <c r="O15" i="9"/>
  <c r="O9" i="6"/>
  <c r="O7" i="25"/>
  <c r="L399" i="1"/>
  <c r="H440" i="1"/>
  <c r="L440" i="1" s="1"/>
  <c r="N440" i="1" s="1"/>
  <c r="N240" i="1"/>
  <c r="O15" i="29" s="1"/>
  <c r="N17" i="26"/>
  <c r="N18" i="9"/>
  <c r="M388" i="1"/>
  <c r="N17" i="1"/>
  <c r="O14" i="6" s="1"/>
  <c r="N10" i="16"/>
  <c r="N90" i="1"/>
  <c r="O10" i="16" s="1"/>
  <c r="N11" i="13"/>
  <c r="N20" i="13" s="1"/>
  <c r="N117" i="1"/>
  <c r="O11" i="13" s="1"/>
  <c r="O20" i="13" s="1"/>
  <c r="N326" i="1"/>
  <c r="M424" i="1"/>
  <c r="N424" i="1" s="1"/>
  <c r="N383" i="1"/>
  <c r="F437" i="1"/>
  <c r="L437" i="1" s="1"/>
  <c r="L396" i="1"/>
  <c r="AF17" i="14"/>
  <c r="I19" i="24"/>
  <c r="N136" i="1"/>
  <c r="O11" i="25" s="1"/>
  <c r="N14" i="23"/>
  <c r="M249" i="1"/>
  <c r="H433" i="1"/>
  <c r="L433" i="1" s="1"/>
  <c r="AF16" i="14"/>
  <c r="AE20" i="14"/>
  <c r="N20" i="17"/>
  <c r="N10" i="1"/>
  <c r="O8" i="5" s="1"/>
  <c r="M14" i="7"/>
  <c r="N199" i="1"/>
  <c r="O14" i="7" s="1"/>
  <c r="N225" i="1"/>
  <c r="O14" i="23" s="1"/>
  <c r="N290" i="1"/>
  <c r="O16" i="24" s="1"/>
  <c r="N17" i="23"/>
  <c r="M342" i="1"/>
  <c r="M380" i="1"/>
  <c r="G8" i="21"/>
  <c r="G20" i="4"/>
  <c r="O8" i="10"/>
  <c r="O15" i="6"/>
  <c r="O7" i="27"/>
  <c r="O8" i="15"/>
  <c r="O7" i="30"/>
  <c r="L187" i="1"/>
  <c r="N217" i="1"/>
  <c r="O14" i="18" s="1"/>
  <c r="M15" i="4"/>
  <c r="N226" i="1"/>
  <c r="O15" i="4" s="1"/>
  <c r="O14" i="27"/>
  <c r="O15" i="10"/>
  <c r="N318" i="1"/>
  <c r="O17" i="23" s="1"/>
  <c r="L443" i="1"/>
  <c r="H8" i="21"/>
  <c r="H20" i="21" s="1"/>
  <c r="H20" i="4"/>
  <c r="M15" i="21"/>
  <c r="I20" i="6"/>
  <c r="F20" i="10"/>
  <c r="M8" i="11"/>
  <c r="M16" i="6"/>
  <c r="N82" i="1"/>
  <c r="N11" i="10"/>
  <c r="N10" i="27"/>
  <c r="L125" i="1"/>
  <c r="N208" i="1"/>
  <c r="M17" i="12"/>
  <c r="M16" i="28"/>
  <c r="M390" i="1"/>
  <c r="N364" i="1"/>
  <c r="O19" i="29" s="1"/>
  <c r="M395" i="1"/>
  <c r="N19" i="29"/>
  <c r="N20" i="29" s="1"/>
  <c r="I20" i="4"/>
  <c r="F20" i="22"/>
  <c r="O14" i="10"/>
  <c r="O13" i="27"/>
  <c r="N17" i="19"/>
  <c r="N324" i="1"/>
  <c r="O17" i="19" s="1"/>
  <c r="M423" i="1"/>
  <c r="G23" i="24"/>
  <c r="H23" i="24" s="1"/>
  <c r="F426" i="1"/>
  <c r="L426" i="1" s="1"/>
  <c r="L385" i="1"/>
  <c r="N71" i="1"/>
  <c r="O10" i="4" s="1"/>
  <c r="O20" i="4" s="1"/>
  <c r="O15" i="2"/>
  <c r="O19" i="3"/>
  <c r="N209" i="1"/>
  <c r="O14" i="29" s="1"/>
  <c r="C10" i="22"/>
  <c r="C20" i="22" s="1"/>
  <c r="C20" i="15"/>
  <c r="G24" i="15" s="1"/>
  <c r="H24" i="15" s="1"/>
  <c r="M15" i="23"/>
  <c r="N256" i="1"/>
  <c r="O15" i="23" s="1"/>
  <c r="M20" i="8"/>
  <c r="P389" i="1"/>
  <c r="M389" i="1"/>
  <c r="N358" i="1"/>
  <c r="M373" i="1"/>
  <c r="F20" i="2"/>
  <c r="C20" i="8"/>
  <c r="I8" i="21"/>
  <c r="I20" i="21" s="1"/>
  <c r="O16" i="22"/>
  <c r="J422" i="1"/>
  <c r="L422" i="1" s="1"/>
  <c r="N422" i="1" s="1"/>
  <c r="L381" i="1"/>
  <c r="N381" i="1" s="1"/>
  <c r="N9" i="26"/>
  <c r="N10" i="9"/>
  <c r="N78" i="1"/>
  <c r="M94" i="1"/>
  <c r="O12" i="15"/>
  <c r="O11" i="30"/>
  <c r="N169" i="1"/>
  <c r="O12" i="19" s="1"/>
  <c r="N12" i="19"/>
  <c r="N11" i="27"/>
  <c r="N12" i="10"/>
  <c r="M10" i="15"/>
  <c r="M9" i="30"/>
  <c r="N241" i="1"/>
  <c r="O15" i="13" s="1"/>
  <c r="N399" i="1"/>
  <c r="N16" i="6"/>
  <c r="N19" i="1"/>
  <c r="N8" i="11"/>
  <c r="N20" i="11" s="1"/>
  <c r="O11" i="10"/>
  <c r="O10" i="27"/>
  <c r="M12" i="30"/>
  <c r="M13" i="15"/>
  <c r="N182" i="1"/>
  <c r="L393" i="1"/>
  <c r="F434" i="1"/>
  <c r="L434" i="1" s="1"/>
  <c r="M7" i="25"/>
  <c r="M9" i="6"/>
  <c r="M10" i="30"/>
  <c r="M11" i="15"/>
  <c r="N120" i="1"/>
  <c r="M387" i="1"/>
  <c r="I404" i="1"/>
  <c r="H20" i="16"/>
  <c r="N301" i="1"/>
  <c r="N166" i="1"/>
  <c r="O12" i="24" s="1"/>
  <c r="N12" i="24"/>
  <c r="N19" i="24" s="1"/>
  <c r="N201" i="1"/>
  <c r="O14" i="8" s="1"/>
  <c r="M19" i="27"/>
  <c r="M8" i="27"/>
  <c r="M9" i="10"/>
  <c r="N49" i="1"/>
  <c r="N104" i="1"/>
  <c r="O10" i="24" s="1"/>
  <c r="N257" i="1"/>
  <c r="O16" i="4" s="1"/>
  <c r="O17" i="28"/>
  <c r="O18" i="12"/>
  <c r="N18" i="18"/>
  <c r="M403" i="1"/>
  <c r="F9" i="20"/>
  <c r="F20" i="3"/>
  <c r="F20" i="7"/>
  <c r="I8" i="22"/>
  <c r="I20" i="22" s="1"/>
  <c r="I20" i="15"/>
  <c r="H19" i="28"/>
  <c r="J438" i="1"/>
  <c r="L438" i="1" s="1"/>
  <c r="L397" i="1"/>
  <c r="N397" i="1" s="1"/>
  <c r="N12" i="5"/>
  <c r="N20" i="5" s="1"/>
  <c r="N134" i="1"/>
  <c r="O12" i="5" s="1"/>
  <c r="N214" i="1"/>
  <c r="O14" i="16" s="1"/>
  <c r="N14" i="16"/>
  <c r="N333" i="1"/>
  <c r="O18" i="29" s="1"/>
  <c r="M18" i="13"/>
  <c r="M20" i="13" s="1"/>
  <c r="N334" i="1"/>
  <c r="O18" i="13" s="1"/>
  <c r="L401" i="1"/>
  <c r="N401" i="1" s="1"/>
  <c r="H442" i="1"/>
  <c r="J20" i="8"/>
  <c r="M17" i="26"/>
  <c r="M18" i="9"/>
  <c r="I445" i="1"/>
  <c r="N15" i="9"/>
  <c r="N14" i="26"/>
  <c r="M17" i="11"/>
  <c r="N298" i="1"/>
  <c r="O17" i="11" s="1"/>
  <c r="N17" i="18"/>
  <c r="N310" i="1"/>
  <c r="O17" i="18" s="1"/>
  <c r="N7" i="25"/>
  <c r="N19" i="25" s="1"/>
  <c r="N9" i="6"/>
  <c r="N20" i="6" s="1"/>
  <c r="N74" i="1"/>
  <c r="O9" i="25" s="1"/>
  <c r="N112" i="1"/>
  <c r="O11" i="11" s="1"/>
  <c r="M14" i="3"/>
  <c r="M20" i="3" s="1"/>
  <c r="N192" i="1"/>
  <c r="L218" i="1"/>
  <c r="N20" i="10"/>
  <c r="O15" i="26"/>
  <c r="O16" i="9"/>
  <c r="N293" i="1"/>
  <c r="O16" i="19" s="1"/>
  <c r="M12" i="28"/>
  <c r="M13" i="12"/>
  <c r="N149" i="1"/>
  <c r="O12" i="14" s="1"/>
  <c r="N41" i="1"/>
  <c r="O9" i="5" s="1"/>
  <c r="O8" i="30"/>
  <c r="O9" i="15"/>
  <c r="N10" i="25"/>
  <c r="N105" i="1"/>
  <c r="O10" i="25" s="1"/>
  <c r="O12" i="9"/>
  <c r="O11" i="26"/>
  <c r="N176" i="1"/>
  <c r="N186" i="1"/>
  <c r="O13" i="18" s="1"/>
  <c r="N13" i="18"/>
  <c r="M218" i="1"/>
  <c r="N13" i="23"/>
  <c r="N194" i="1"/>
  <c r="O13" i="23" s="1"/>
  <c r="N239" i="1"/>
  <c r="N274" i="1"/>
  <c r="N341" i="1"/>
  <c r="O18" i="18" s="1"/>
  <c r="N350" i="1"/>
  <c r="O19" i="4" s="1"/>
  <c r="M19" i="4"/>
  <c r="F429" i="1"/>
  <c r="L429" i="1" s="1"/>
  <c r="L388" i="1"/>
  <c r="G20" i="7"/>
  <c r="G24" i="9"/>
  <c r="H24" i="9" s="1"/>
  <c r="J19" i="25"/>
  <c r="M156" i="1"/>
  <c r="N325" i="1"/>
  <c r="O18" i="8" s="1"/>
  <c r="G24" i="5"/>
  <c r="H24" i="5" s="1"/>
  <c r="M9" i="7"/>
  <c r="N44" i="1"/>
  <c r="O9" i="7" s="1"/>
  <c r="N89" i="1"/>
  <c r="M12" i="17"/>
  <c r="N153" i="1"/>
  <c r="O12" i="17" s="1"/>
  <c r="J404" i="1"/>
  <c r="J419" i="1"/>
  <c r="J445" i="1" s="1"/>
  <c r="L378" i="1"/>
  <c r="O8" i="6"/>
  <c r="O7" i="24"/>
  <c r="N17" i="12"/>
  <c r="N16" i="28"/>
  <c r="N300" i="1"/>
  <c r="M393" i="1"/>
  <c r="K20" i="3"/>
  <c r="K8" i="20"/>
  <c r="K20" i="20" s="1"/>
  <c r="M391" i="1"/>
  <c r="N13" i="11"/>
  <c r="H432" i="1"/>
  <c r="L432" i="1" s="1"/>
  <c r="L391" i="1"/>
  <c r="N174" i="1"/>
  <c r="O13" i="11" s="1"/>
  <c r="M13" i="17"/>
  <c r="N184" i="1"/>
  <c r="O13" i="17" s="1"/>
  <c r="N348" i="1"/>
  <c r="O19" i="2" s="1"/>
  <c r="N340" i="1"/>
  <c r="L420" i="1"/>
  <c r="N420" i="1" s="1"/>
  <c r="E20" i="2"/>
  <c r="G24" i="2" s="1"/>
  <c r="H24" i="2" s="1"/>
  <c r="L63" i="1"/>
  <c r="N12" i="25"/>
  <c r="N167" i="1"/>
  <c r="O12" i="25" s="1"/>
  <c r="M8" i="24"/>
  <c r="N42" i="1"/>
  <c r="O8" i="24" s="1"/>
  <c r="H20" i="3"/>
  <c r="D20" i="9"/>
  <c r="C20" i="12"/>
  <c r="L19" i="24"/>
  <c r="N438" i="1"/>
  <c r="C20" i="7"/>
  <c r="G24" i="7" s="1"/>
  <c r="H24" i="7" s="1"/>
  <c r="L20" i="12"/>
  <c r="F20" i="15"/>
  <c r="M8" i="6"/>
  <c r="M20" i="6" s="1"/>
  <c r="M7" i="24"/>
  <c r="M19" i="24" s="1"/>
  <c r="M125" i="1"/>
  <c r="N150" i="1"/>
  <c r="M15" i="26"/>
  <c r="M16" i="9"/>
  <c r="N16" i="29"/>
  <c r="N271" i="1"/>
  <c r="O16" i="29" s="1"/>
  <c r="M16" i="25"/>
  <c r="N291" i="1"/>
  <c r="O16" i="25" s="1"/>
  <c r="O18" i="3"/>
  <c r="M18" i="26"/>
  <c r="M19" i="9"/>
  <c r="K404" i="1"/>
  <c r="O9" i="21"/>
  <c r="D20" i="7"/>
  <c r="G20" i="22"/>
  <c r="M8" i="22"/>
  <c r="M20" i="22" s="1"/>
  <c r="K20" i="17"/>
  <c r="I19" i="25"/>
  <c r="G23" i="28"/>
  <c r="H23" i="28" s="1"/>
  <c r="N103" i="1"/>
  <c r="O11" i="5" s="1"/>
  <c r="N183" i="1"/>
  <c r="O13" i="16" s="1"/>
  <c r="N248" i="1"/>
  <c r="O15" i="18" s="1"/>
  <c r="N15" i="26"/>
  <c r="N16" i="9"/>
  <c r="M18" i="2"/>
  <c r="L342" i="1"/>
  <c r="N18" i="26"/>
  <c r="N19" i="9"/>
  <c r="N357" i="1"/>
  <c r="N18" i="6"/>
  <c r="D20" i="12"/>
  <c r="H8" i="22"/>
  <c r="H20" i="22" s="1"/>
  <c r="H20" i="15"/>
  <c r="L20" i="17"/>
  <c r="N10" i="28"/>
  <c r="M20" i="29"/>
  <c r="M8" i="28"/>
  <c r="M9" i="12"/>
  <c r="M15" i="14"/>
  <c r="M20" i="14" s="1"/>
  <c r="N242" i="1"/>
  <c r="O15" i="14" s="1"/>
  <c r="L439" i="1"/>
  <c r="F20" i="11"/>
  <c r="N327" i="1"/>
  <c r="N10" i="12"/>
  <c r="N20" i="12" s="1"/>
  <c r="N9" i="28"/>
  <c r="N369" i="1"/>
  <c r="O19" i="16" s="1"/>
  <c r="G19" i="24"/>
  <c r="N37" i="1"/>
  <c r="L156" i="1"/>
  <c r="N130" i="1"/>
  <c r="N370" i="1"/>
  <c r="O19" i="17" s="1"/>
  <c r="M19" i="17"/>
  <c r="M9" i="2"/>
  <c r="N38" i="1"/>
  <c r="O9" i="2" s="1"/>
  <c r="M11" i="17"/>
  <c r="M20" i="17" s="1"/>
  <c r="N122" i="1"/>
  <c r="O11" i="17" s="1"/>
  <c r="N12" i="23"/>
  <c r="N163" i="1"/>
  <c r="B445" i="1"/>
  <c r="N18" i="10"/>
  <c r="F20" i="16"/>
  <c r="K20" i="16"/>
  <c r="G19" i="27"/>
  <c r="K20" i="29"/>
  <c r="N7" i="19"/>
  <c r="N8" i="8"/>
  <c r="N20" i="8" s="1"/>
  <c r="N12" i="6"/>
  <c r="N76" i="1"/>
  <c r="O9" i="19" s="1"/>
  <c r="L249" i="1"/>
  <c r="N19" i="7"/>
  <c r="P385" i="1"/>
  <c r="C404" i="1"/>
  <c r="C419" i="1"/>
  <c r="C445" i="1" s="1"/>
  <c r="M385" i="1"/>
  <c r="P388" i="1"/>
  <c r="D20" i="3"/>
  <c r="G24" i="3" s="1"/>
  <c r="H24" i="3" s="1"/>
  <c r="G20" i="5"/>
  <c r="N10" i="8"/>
  <c r="L20" i="8"/>
  <c r="E20" i="13"/>
  <c r="AA20" i="14"/>
  <c r="AA26" i="14" s="1"/>
  <c r="AF10" i="14"/>
  <c r="M12" i="15"/>
  <c r="H19" i="27"/>
  <c r="D445" i="1"/>
  <c r="O17" i="20"/>
  <c r="F20" i="18"/>
  <c r="N144" i="1"/>
  <c r="K20" i="7"/>
  <c r="M8" i="7"/>
  <c r="M20" i="7" s="1"/>
  <c r="L20" i="6"/>
  <c r="K19" i="28"/>
  <c r="N21" i="1"/>
  <c r="M20" i="2"/>
  <c r="O19" i="22"/>
  <c r="M7" i="19"/>
  <c r="M19" i="19" s="1"/>
  <c r="M12" i="6"/>
  <c r="N146" i="1"/>
  <c r="O17" i="9"/>
  <c r="O16" i="26"/>
  <c r="M19" i="23"/>
  <c r="N107" i="1"/>
  <c r="O10" i="19" s="1"/>
  <c r="N179" i="1"/>
  <c r="O13" i="13" s="1"/>
  <c r="M402" i="1"/>
  <c r="N7" i="23"/>
  <c r="M32" i="1"/>
  <c r="N69" i="1"/>
  <c r="O10" i="2" s="1"/>
  <c r="N236" i="1"/>
  <c r="O15" i="11" s="1"/>
  <c r="N15" i="16"/>
  <c r="N245" i="1"/>
  <c r="O15" i="16" s="1"/>
  <c r="M16" i="12"/>
  <c r="M15" i="28"/>
  <c r="N287" i="1"/>
  <c r="O16" i="23" s="1"/>
  <c r="N16" i="23"/>
  <c r="M311" i="1"/>
  <c r="N296" i="1"/>
  <c r="N321" i="1"/>
  <c r="O17" i="24" s="1"/>
  <c r="N354" i="1"/>
  <c r="O19" i="7" s="1"/>
  <c r="N19" i="12"/>
  <c r="N18" i="28"/>
  <c r="P393" i="1"/>
  <c r="N371" i="1"/>
  <c r="D404" i="1"/>
  <c r="L20" i="2"/>
  <c r="E20" i="3"/>
  <c r="F20" i="6"/>
  <c r="F20" i="8"/>
  <c r="F20" i="12"/>
  <c r="C20" i="18"/>
  <c r="O13" i="22"/>
  <c r="N8" i="23"/>
  <c r="I19" i="30"/>
  <c r="D20" i="14"/>
  <c r="U8" i="14"/>
  <c r="N9" i="16"/>
  <c r="N20" i="16" s="1"/>
  <c r="N59" i="1"/>
  <c r="O9" i="16" s="1"/>
  <c r="O20" i="16" s="1"/>
  <c r="N234" i="1"/>
  <c r="K20" i="6"/>
  <c r="V8" i="14"/>
  <c r="E20" i="14"/>
  <c r="D20" i="17"/>
  <c r="J19" i="28"/>
  <c r="M9" i="28"/>
  <c r="M10" i="12"/>
  <c r="N302" i="1"/>
  <c r="O17" i="29" s="1"/>
  <c r="N8" i="19"/>
  <c r="N45" i="1"/>
  <c r="O8" i="19" s="1"/>
  <c r="N52" i="1"/>
  <c r="N60" i="1"/>
  <c r="O9" i="17" s="1"/>
  <c r="O20" i="17" s="1"/>
  <c r="N75" i="1"/>
  <c r="O10" i="7" s="1"/>
  <c r="M10" i="28"/>
  <c r="M11" i="12"/>
  <c r="N12" i="12"/>
  <c r="N145" i="1"/>
  <c r="N11" i="28"/>
  <c r="N210" i="1"/>
  <c r="O14" i="13" s="1"/>
  <c r="N17" i="8"/>
  <c r="G20" i="14"/>
  <c r="G26" i="14" s="1"/>
  <c r="X8" i="14"/>
  <c r="M280" i="1"/>
  <c r="N260" i="1"/>
  <c r="O15" i="25" s="1"/>
  <c r="N15" i="25"/>
  <c r="G24" i="13"/>
  <c r="H24" i="13" s="1"/>
  <c r="N7" i="28"/>
  <c r="N68" i="1"/>
  <c r="N114" i="1"/>
  <c r="M16" i="17"/>
  <c r="N277" i="1"/>
  <c r="O16" i="17" s="1"/>
  <c r="N328" i="1"/>
  <c r="G20" i="18"/>
  <c r="C20" i="29"/>
  <c r="N100" i="1"/>
  <c r="N173" i="1"/>
  <c r="M12" i="27"/>
  <c r="E404" i="1"/>
  <c r="L379" i="1"/>
  <c r="L402" i="1"/>
  <c r="B404" i="1"/>
  <c r="F423" i="1"/>
  <c r="L423" i="1" s="1"/>
  <c r="N11" i="5"/>
  <c r="G20" i="6"/>
  <c r="O14" i="9"/>
  <c r="D20" i="10"/>
  <c r="L20" i="10"/>
  <c r="D20" i="18"/>
  <c r="I19" i="19"/>
  <c r="M13" i="20"/>
  <c r="O13" i="20" s="1"/>
  <c r="C19" i="25"/>
  <c r="K8" i="21"/>
  <c r="K20" i="21" s="1"/>
  <c r="K20" i="4"/>
  <c r="Z9" i="14"/>
  <c r="Z20" i="14" s="1"/>
  <c r="Z26" i="14" s="1"/>
  <c r="I20" i="14"/>
  <c r="I26" i="14" s="1"/>
  <c r="D19" i="24"/>
  <c r="O16" i="10"/>
  <c r="O15" i="27"/>
  <c r="M14" i="27"/>
  <c r="M15" i="10"/>
  <c r="J20" i="3"/>
  <c r="L20" i="7"/>
  <c r="N106" i="1"/>
  <c r="O11" i="7" s="1"/>
  <c r="N15" i="5"/>
  <c r="N227" i="1"/>
  <c r="O15" i="5" s="1"/>
  <c r="K419" i="1"/>
  <c r="K445" i="1" s="1"/>
  <c r="F431" i="1"/>
  <c r="L431" i="1" s="1"/>
  <c r="G11" i="20"/>
  <c r="G20" i="3"/>
  <c r="N320" i="1"/>
  <c r="O18" i="5" s="1"/>
  <c r="M392" i="1"/>
  <c r="P392" i="1"/>
  <c r="I19" i="28"/>
  <c r="E20" i="7"/>
  <c r="M14" i="10"/>
  <c r="M13" i="27"/>
  <c r="N228" i="1"/>
  <c r="O14" i="24" s="1"/>
  <c r="M20" i="18"/>
  <c r="N8" i="1"/>
  <c r="O7" i="23" s="1"/>
  <c r="N23" i="1"/>
  <c r="O8" i="29" s="1"/>
  <c r="N9" i="9"/>
  <c r="N20" i="9" s="1"/>
  <c r="N47" i="1"/>
  <c r="N147" i="1"/>
  <c r="O12" i="29" s="1"/>
  <c r="N15" i="28"/>
  <c r="N16" i="12"/>
  <c r="M16" i="27"/>
  <c r="M17" i="10"/>
  <c r="N362" i="1"/>
  <c r="N19" i="26"/>
  <c r="N31" i="1"/>
  <c r="O8" i="18" s="1"/>
  <c r="M9" i="4"/>
  <c r="N40" i="1"/>
  <c r="O9" i="4" s="1"/>
  <c r="N54" i="1"/>
  <c r="O9" i="29" s="1"/>
  <c r="N62" i="1"/>
  <c r="O9" i="18" s="1"/>
  <c r="N93" i="1"/>
  <c r="O10" i="18" s="1"/>
  <c r="N108" i="1"/>
  <c r="O11" i="8" s="1"/>
  <c r="M12" i="9"/>
  <c r="M11" i="26"/>
  <c r="N165" i="1"/>
  <c r="O13" i="5" s="1"/>
  <c r="L280" i="1"/>
  <c r="N269" i="1"/>
  <c r="N279" i="1"/>
  <c r="O16" i="18" s="1"/>
  <c r="N18" i="19"/>
  <c r="P386" i="1"/>
  <c r="M386" i="1"/>
  <c r="N379" i="1"/>
  <c r="L392" i="1"/>
  <c r="M400" i="1"/>
  <c r="M16" i="21"/>
  <c r="O16" i="21" s="1"/>
  <c r="F20" i="17"/>
  <c r="E20" i="18"/>
  <c r="I19" i="27"/>
  <c r="G19" i="30"/>
  <c r="N8" i="7"/>
  <c r="N13" i="1"/>
  <c r="K20" i="11"/>
  <c r="N113" i="1"/>
  <c r="N137" i="1"/>
  <c r="O12" i="7" s="1"/>
  <c r="M17" i="3"/>
  <c r="L311" i="1"/>
  <c r="G20" i="17"/>
  <c r="N91" i="1"/>
  <c r="O10" i="17" s="1"/>
  <c r="N285" i="1"/>
  <c r="H20" i="2"/>
  <c r="O10" i="22"/>
  <c r="N83" i="1"/>
  <c r="O17" i="22"/>
  <c r="N211" i="1"/>
  <c r="O14" i="14" s="1"/>
  <c r="O20" i="14" s="1"/>
  <c r="O26" i="14" s="1"/>
  <c r="J20" i="11"/>
  <c r="N22" i="1"/>
  <c r="O19" i="6" s="1"/>
  <c r="N15" i="1"/>
  <c r="M63" i="1"/>
  <c r="M9" i="9"/>
  <c r="M8" i="26"/>
  <c r="M7" i="26"/>
  <c r="M13" i="6"/>
  <c r="N16" i="1"/>
  <c r="M9" i="26"/>
  <c r="M10" i="9"/>
  <c r="M20" i="9" s="1"/>
  <c r="N85" i="1"/>
  <c r="O10" i="29" s="1"/>
  <c r="N148" i="1"/>
  <c r="O12" i="13" s="1"/>
  <c r="N12" i="13"/>
  <c r="O13" i="30"/>
  <c r="O14" i="15"/>
  <c r="N262" i="1"/>
  <c r="O15" i="19" s="1"/>
  <c r="N17" i="5"/>
  <c r="N289" i="1"/>
  <c r="O17" i="5" s="1"/>
  <c r="N297" i="1"/>
  <c r="L373" i="1"/>
  <c r="N355" i="1"/>
  <c r="O18" i="19" s="1"/>
  <c r="N372" i="1"/>
  <c r="O19" i="18" s="1"/>
  <c r="L387" i="1"/>
  <c r="G404" i="1"/>
  <c r="I8" i="20"/>
  <c r="I20" i="20" s="1"/>
  <c r="I20" i="3"/>
  <c r="M13" i="10"/>
  <c r="I20" i="13"/>
  <c r="F19" i="23"/>
  <c r="J19" i="26"/>
  <c r="L19" i="27"/>
  <c r="J20" i="13"/>
  <c r="H20" i="14"/>
  <c r="Y8" i="14"/>
  <c r="Y20" i="14" s="1"/>
  <c r="L20" i="14"/>
  <c r="L26" i="14" s="1"/>
  <c r="K20" i="18"/>
  <c r="C19" i="23"/>
  <c r="G23" i="23" s="1"/>
  <c r="H23" i="23" s="1"/>
  <c r="K19" i="30"/>
  <c r="N12" i="11"/>
  <c r="N143" i="1"/>
  <c r="O12" i="11" s="1"/>
  <c r="N14" i="10"/>
  <c r="N13" i="27"/>
  <c r="M17" i="27"/>
  <c r="M18" i="10"/>
  <c r="M18" i="20"/>
  <c r="K20" i="13"/>
  <c r="AF12" i="14"/>
  <c r="E20" i="15"/>
  <c r="D19" i="23"/>
  <c r="J19" i="27"/>
  <c r="L19" i="28"/>
  <c r="L20" i="29"/>
  <c r="J20" i="16"/>
  <c r="N20" i="22"/>
  <c r="H19" i="23"/>
  <c r="J19" i="24"/>
  <c r="M7" i="30"/>
  <c r="M8" i="15"/>
  <c r="N8" i="27"/>
  <c r="N9" i="10"/>
  <c r="N123" i="1"/>
  <c r="N229" i="1"/>
  <c r="O14" i="25" s="1"/>
  <c r="O19" i="10"/>
  <c r="O18" i="27"/>
  <c r="L430" i="1"/>
  <c r="L442" i="1"/>
  <c r="N442" i="1" s="1"/>
  <c r="D20" i="6"/>
  <c r="G24" i="6" s="1"/>
  <c r="H24" i="6" s="1"/>
  <c r="E20" i="8"/>
  <c r="M15" i="22"/>
  <c r="O15" i="22" s="1"/>
  <c r="K19" i="24"/>
  <c r="E20" i="29"/>
  <c r="K19" i="26"/>
  <c r="E20" i="6"/>
  <c r="C19" i="19"/>
  <c r="M20" i="16"/>
  <c r="N79" i="1"/>
  <c r="M11" i="9"/>
  <c r="M10" i="26"/>
  <c r="N13" i="8"/>
  <c r="N170" i="1"/>
  <c r="O13" i="8" s="1"/>
  <c r="N230" i="1"/>
  <c r="O15" i="7" s="1"/>
  <c r="M15" i="12"/>
  <c r="M14" i="28"/>
  <c r="N267" i="1"/>
  <c r="O16" i="11" s="1"/>
  <c r="N275" i="1"/>
  <c r="M398" i="1"/>
  <c r="L400" i="1"/>
  <c r="F421" i="1"/>
  <c r="L421" i="1" s="1"/>
  <c r="M13" i="2"/>
  <c r="M12" i="20"/>
  <c r="O12" i="20" s="1"/>
  <c r="O18" i="20"/>
  <c r="C20" i="16"/>
  <c r="G24" i="16" s="1"/>
  <c r="H24" i="16" s="1"/>
  <c r="C20" i="17"/>
  <c r="C20" i="21"/>
  <c r="J20" i="22"/>
  <c r="O12" i="22"/>
  <c r="M18" i="30"/>
  <c r="O16" i="30"/>
  <c r="O17" i="15"/>
  <c r="N17" i="25"/>
  <c r="N322" i="1"/>
  <c r="O17" i="25" s="1"/>
  <c r="E20" i="10"/>
  <c r="K20" i="22"/>
  <c r="J20" i="17"/>
  <c r="N6" i="1"/>
  <c r="N20" i="1"/>
  <c r="O17" i="6" s="1"/>
  <c r="L32" i="1"/>
  <c r="M10" i="10"/>
  <c r="M20" i="10" s="1"/>
  <c r="M9" i="27"/>
  <c r="N102" i="1"/>
  <c r="O11" i="4" s="1"/>
  <c r="N124" i="1"/>
  <c r="O11" i="18" s="1"/>
  <c r="M14" i="12"/>
  <c r="M13" i="28"/>
  <c r="N323" i="1"/>
  <c r="O18" i="7" s="1"/>
  <c r="M18" i="12"/>
  <c r="M17" i="28"/>
  <c r="N338" i="1"/>
  <c r="O18" i="16" s="1"/>
  <c r="N353" i="1"/>
  <c r="O18" i="25" s="1"/>
  <c r="N360" i="1"/>
  <c r="O19" i="11" s="1"/>
  <c r="N368" i="1"/>
  <c r="M14" i="21"/>
  <c r="O14" i="21" s="1"/>
  <c r="O15" i="21"/>
  <c r="M17" i="7"/>
  <c r="H20" i="11"/>
  <c r="D20" i="21"/>
  <c r="K19" i="25"/>
  <c r="M8" i="12"/>
  <c r="M7" i="28"/>
  <c r="N9" i="27"/>
  <c r="N19" i="27" s="1"/>
  <c r="N80" i="1"/>
  <c r="N12" i="26"/>
  <c r="N13" i="9"/>
  <c r="N13" i="28"/>
  <c r="N207" i="1"/>
  <c r="N238" i="1"/>
  <c r="N307" i="1"/>
  <c r="O17" i="16" s="1"/>
  <c r="M17" i="20"/>
  <c r="I20" i="8"/>
  <c r="H20" i="10"/>
  <c r="E20" i="11"/>
  <c r="J20" i="12"/>
  <c r="F20" i="14"/>
  <c r="W10" i="14"/>
  <c r="E20" i="16"/>
  <c r="E20" i="21"/>
  <c r="M16" i="30"/>
  <c r="M17" i="15"/>
  <c r="M9" i="20"/>
  <c r="O9" i="20" s="1"/>
  <c r="M12" i="10"/>
  <c r="K20" i="14"/>
  <c r="K26" i="14" s="1"/>
  <c r="AB8" i="14"/>
  <c r="D9" i="22"/>
  <c r="D20" i="15"/>
  <c r="M17" i="22"/>
  <c r="D20" i="16"/>
  <c r="J20" i="18"/>
  <c r="L19" i="23"/>
  <c r="H19" i="24"/>
  <c r="N16" i="26"/>
  <c r="M14" i="30"/>
  <c r="M8" i="30"/>
  <c r="M9" i="15"/>
  <c r="P383" i="1"/>
  <c r="M396" i="1"/>
  <c r="P403" i="1"/>
  <c r="E419" i="1"/>
  <c r="E445" i="1" s="1"/>
  <c r="G20" i="2"/>
  <c r="AF11" i="14"/>
  <c r="E20" i="17"/>
  <c r="D19" i="19"/>
  <c r="O10" i="21"/>
  <c r="L19" i="26"/>
  <c r="M18" i="27"/>
  <c r="D20" i="29"/>
  <c r="M17" i="30"/>
  <c r="M18" i="15"/>
  <c r="P396" i="1"/>
  <c r="I20" i="2"/>
  <c r="D20" i="4"/>
  <c r="M11" i="21"/>
  <c r="O11" i="21" s="1"/>
  <c r="M17" i="4"/>
  <c r="J20" i="5"/>
  <c r="F20" i="13"/>
  <c r="AC20" i="14"/>
  <c r="AC26" i="14" s="1"/>
  <c r="F19" i="19"/>
  <c r="H19" i="25"/>
  <c r="D19" i="26"/>
  <c r="G23" i="26" s="1"/>
  <c r="H23" i="26" s="1"/>
  <c r="L19" i="30"/>
  <c r="N13" i="10"/>
  <c r="N12" i="27"/>
  <c r="N244" i="1"/>
  <c r="N272" i="1"/>
  <c r="O16" i="13" s="1"/>
  <c r="N337" i="1"/>
  <c r="N365" i="1"/>
  <c r="O19" i="13" s="1"/>
  <c r="J20" i="2"/>
  <c r="M8" i="20"/>
  <c r="O8" i="20" s="1"/>
  <c r="M16" i="20"/>
  <c r="O16" i="20" s="1"/>
  <c r="E20" i="4"/>
  <c r="O17" i="21"/>
  <c r="C20" i="11"/>
  <c r="L20" i="16"/>
  <c r="H20" i="17"/>
  <c r="D19" i="28"/>
  <c r="D19" i="30"/>
  <c r="M13" i="30"/>
  <c r="N20" i="18"/>
  <c r="N109" i="1"/>
  <c r="N14" i="9"/>
  <c r="N13" i="26"/>
  <c r="N352" i="1"/>
  <c r="O18" i="24" s="1"/>
  <c r="K20" i="2"/>
  <c r="E20" i="5"/>
  <c r="D20" i="11"/>
  <c r="H20" i="13"/>
  <c r="D20" i="22"/>
  <c r="O9" i="22"/>
  <c r="I20" i="17"/>
  <c r="H19" i="19"/>
  <c r="F19" i="26"/>
  <c r="H20" i="29"/>
  <c r="E19" i="30"/>
  <c r="M13" i="21"/>
  <c r="O13" i="21" s="1"/>
  <c r="E20" i="12"/>
  <c r="E8" i="22"/>
  <c r="E20" i="22" s="1"/>
  <c r="K19" i="27"/>
  <c r="F19" i="30"/>
  <c r="N20" i="3"/>
  <c r="C20" i="10"/>
  <c r="I20" i="11"/>
  <c r="L20" i="13"/>
  <c r="G20" i="29"/>
  <c r="E20" i="9"/>
  <c r="E19" i="19"/>
  <c r="F20" i="21"/>
  <c r="I20" i="29"/>
  <c r="N19" i="30"/>
  <c r="M10" i="20"/>
  <c r="O10" i="20" s="1"/>
  <c r="F20" i="9"/>
  <c r="L20" i="11"/>
  <c r="AD19" i="14"/>
  <c r="AF19" i="14" s="1"/>
  <c r="N20" i="15"/>
  <c r="J20" i="29"/>
  <c r="F20" i="29"/>
  <c r="N20" i="20"/>
  <c r="G20" i="10"/>
  <c r="G19" i="19"/>
  <c r="G19" i="25"/>
  <c r="J20" i="14"/>
  <c r="J26" i="14" s="1"/>
  <c r="G20" i="15"/>
  <c r="K20" i="15"/>
  <c r="M433" i="1" l="1"/>
  <c r="N433" i="1" s="1"/>
  <c r="N392" i="1"/>
  <c r="O12" i="27"/>
  <c r="O13" i="10"/>
  <c r="O11" i="2"/>
  <c r="N125" i="1"/>
  <c r="O13" i="15"/>
  <c r="O12" i="30"/>
  <c r="O10" i="9"/>
  <c r="O9" i="26"/>
  <c r="N280" i="1"/>
  <c r="G24" i="29"/>
  <c r="H24" i="29" s="1"/>
  <c r="M426" i="1"/>
  <c r="N426" i="1" s="1"/>
  <c r="N385" i="1"/>
  <c r="O20" i="2"/>
  <c r="O14" i="3"/>
  <c r="N218" i="1"/>
  <c r="O9" i="10"/>
  <c r="O20" i="10" s="1"/>
  <c r="O8" i="27"/>
  <c r="O19" i="27" s="1"/>
  <c r="N395" i="1"/>
  <c r="M436" i="1"/>
  <c r="N436" i="1" s="1"/>
  <c r="M19" i="28"/>
  <c r="Y26" i="14"/>
  <c r="AE27" i="14"/>
  <c r="O10" i="12"/>
  <c r="O9" i="28"/>
  <c r="M11" i="20"/>
  <c r="O11" i="20" s="1"/>
  <c r="G20" i="20"/>
  <c r="O7" i="28"/>
  <c r="O8" i="12"/>
  <c r="O18" i="6"/>
  <c r="M437" i="1"/>
  <c r="N437" i="1" s="1"/>
  <c r="N396" i="1"/>
  <c r="M20" i="12"/>
  <c r="H26" i="14"/>
  <c r="N27" i="14"/>
  <c r="O27" i="14" s="1"/>
  <c r="M427" i="1"/>
  <c r="N427" i="1" s="1"/>
  <c r="N386" i="1"/>
  <c r="O17" i="27"/>
  <c r="O18" i="10"/>
  <c r="O9" i="30"/>
  <c r="O10" i="15"/>
  <c r="M431" i="1"/>
  <c r="N431" i="1" s="1"/>
  <c r="N390" i="1"/>
  <c r="O20" i="5"/>
  <c r="M429" i="1"/>
  <c r="N429" i="1" s="1"/>
  <c r="N388" i="1"/>
  <c r="O8" i="3"/>
  <c r="N32" i="1"/>
  <c r="O9" i="27"/>
  <c r="O10" i="10"/>
  <c r="O18" i="28"/>
  <c r="O19" i="12"/>
  <c r="O12" i="3"/>
  <c r="N156" i="1"/>
  <c r="O13" i="12"/>
  <c r="O12" i="28"/>
  <c r="AE26" i="14"/>
  <c r="M439" i="1"/>
  <c r="N439" i="1" s="1"/>
  <c r="N398" i="1"/>
  <c r="O16" i="6"/>
  <c r="O8" i="11"/>
  <c r="O20" i="11" s="1"/>
  <c r="N249" i="1"/>
  <c r="O8" i="22"/>
  <c r="O20" i="22" s="1"/>
  <c r="O10" i="26"/>
  <c r="O11" i="9"/>
  <c r="O18" i="9"/>
  <c r="O17" i="26"/>
  <c r="M441" i="1"/>
  <c r="N441" i="1" s="1"/>
  <c r="N400" i="1"/>
  <c r="O17" i="3"/>
  <c r="N311" i="1"/>
  <c r="O9" i="3"/>
  <c r="N63" i="1"/>
  <c r="O20" i="29"/>
  <c r="O20" i="20"/>
  <c r="O7" i="26"/>
  <c r="O19" i="26" s="1"/>
  <c r="O8" i="9"/>
  <c r="O13" i="6"/>
  <c r="G24" i="12"/>
  <c r="H24" i="12" s="1"/>
  <c r="G20" i="21"/>
  <c r="M8" i="21"/>
  <c r="O14" i="30"/>
  <c r="O15" i="15"/>
  <c r="M20" i="15"/>
  <c r="O19" i="24"/>
  <c r="AD9" i="14"/>
  <c r="AF9" i="14" s="1"/>
  <c r="N380" i="1"/>
  <c r="M404" i="1"/>
  <c r="M421" i="1"/>
  <c r="O12" i="12"/>
  <c r="O11" i="28"/>
  <c r="O9" i="9"/>
  <c r="O8" i="26"/>
  <c r="O8" i="28"/>
  <c r="O9" i="12"/>
  <c r="O15" i="30"/>
  <c r="O16" i="15"/>
  <c r="N94" i="1"/>
  <c r="O10" i="3"/>
  <c r="G24" i="8"/>
  <c r="H24" i="8" s="1"/>
  <c r="O19" i="15"/>
  <c r="O18" i="30"/>
  <c r="O18" i="26"/>
  <c r="O19" i="9"/>
  <c r="N342" i="1"/>
  <c r="M434" i="1"/>
  <c r="N434" i="1" s="1"/>
  <c r="N393" i="1"/>
  <c r="N387" i="1"/>
  <c r="M428" i="1"/>
  <c r="N428" i="1" s="1"/>
  <c r="M19" i="26"/>
  <c r="H445" i="1"/>
  <c r="N423" i="1"/>
  <c r="M444" i="1"/>
  <c r="N444" i="1" s="1"/>
  <c r="N403" i="1"/>
  <c r="M19" i="30"/>
  <c r="O17" i="10"/>
  <c r="O16" i="27"/>
  <c r="O8" i="8"/>
  <c r="O20" i="8" s="1"/>
  <c r="O12" i="6"/>
  <c r="O7" i="19"/>
  <c r="O19" i="19" s="1"/>
  <c r="M20" i="4"/>
  <c r="L419" i="1"/>
  <c r="O12" i="23"/>
  <c r="N187" i="1"/>
  <c r="M19" i="25"/>
  <c r="N373" i="1"/>
  <c r="O11" i="12"/>
  <c r="O10" i="28"/>
  <c r="G24" i="18"/>
  <c r="H24" i="18" s="1"/>
  <c r="O15" i="28"/>
  <c r="O16" i="12"/>
  <c r="N19" i="28"/>
  <c r="O19" i="23"/>
  <c r="M432" i="1"/>
  <c r="N432" i="1" s="1"/>
  <c r="N391" i="1"/>
  <c r="N19" i="23"/>
  <c r="N19" i="19"/>
  <c r="N402" i="1"/>
  <c r="M443" i="1"/>
  <c r="N443" i="1" s="1"/>
  <c r="O19" i="25"/>
  <c r="N389" i="1"/>
  <c r="M430" i="1"/>
  <c r="N430" i="1" s="1"/>
  <c r="M20" i="11"/>
  <c r="O8" i="7"/>
  <c r="O20" i="7" s="1"/>
  <c r="O10" i="6"/>
  <c r="O20" i="6" s="1"/>
  <c r="AD8" i="14"/>
  <c r="X20" i="14"/>
  <c r="X26" i="14" s="1"/>
  <c r="O16" i="28"/>
  <c r="O17" i="12"/>
  <c r="O11" i="15"/>
  <c r="O10" i="30"/>
  <c r="O19" i="30" s="1"/>
  <c r="O18" i="15"/>
  <c r="O20" i="15" s="1"/>
  <c r="O17" i="30"/>
  <c r="O14" i="28"/>
  <c r="O15" i="12"/>
  <c r="N20" i="7"/>
  <c r="O13" i="28"/>
  <c r="O14" i="12"/>
  <c r="F445" i="1"/>
  <c r="G24" i="10"/>
  <c r="H24" i="10" s="1"/>
  <c r="G23" i="19"/>
  <c r="H23" i="19" s="1"/>
  <c r="O20" i="18"/>
  <c r="M26" i="14"/>
  <c r="M27" i="14"/>
  <c r="N378" i="1"/>
  <c r="L404" i="1"/>
  <c r="O20" i="12" l="1"/>
  <c r="O19" i="28"/>
  <c r="O20" i="3"/>
  <c r="M20" i="21"/>
  <c r="O8" i="21"/>
  <c r="O20" i="21" s="1"/>
  <c r="N419" i="1"/>
  <c r="L445" i="1"/>
  <c r="M445" i="1"/>
  <c r="N445" i="1" s="1"/>
  <c r="N421" i="1"/>
  <c r="AD20" i="14"/>
  <c r="AF8" i="14"/>
  <c r="M406" i="1"/>
  <c r="N404" i="1"/>
  <c r="O20" i="9"/>
  <c r="AD26" i="14" l="1"/>
  <c r="AF27" i="14" s="1"/>
  <c r="AD27" i="14"/>
  <c r="AF20" i="14"/>
  <c r="AF26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CPD05</author>
    <author>CPD02</author>
    <author>CPD04</author>
  </authors>
  <commentList>
    <comment ref="G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CPD05:
os campos em amarelo não em venda
</t>
        </r>
      </text>
    </comment>
    <comment ref="M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CPD05:
valor fechado da planilha do sr.Jorge ou contabilidade
</t>
        </r>
      </text>
    </comment>
    <comment ref="M9" authorId="1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CPD02:
Receita CMI - plan Ambulatório 2020</t>
        </r>
      </text>
    </comment>
    <comment ref="M25" authorId="1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CPD02:
Valor fixo mensal - Jorney</t>
        </r>
      </text>
    </comment>
    <comment ref="M28" authorId="1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CPD02:
Valor do Receita Material hospitalar/Sócio por mês na plan geral.</t>
        </r>
      </text>
    </comment>
    <comment ref="H2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CPD05:
Junior passava este valor, talvez das AIHs</t>
        </r>
      </text>
    </comment>
    <comment ref="M29" authorId="1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CPD02:
AIH + Incentivo do mÊs</t>
        </r>
      </text>
    </comment>
    <comment ref="M339" authorId="2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CPD04:
Calculo gerado conforme padrão.</t>
        </r>
      </text>
    </comment>
  </commentList>
</comments>
</file>

<file path=xl/sharedStrings.xml><?xml version="1.0" encoding="utf-8"?>
<sst xmlns="http://schemas.openxmlformats.org/spreadsheetml/2006/main" count="1837" uniqueCount="90">
  <si>
    <t>RESUMO DE CUSTO / RECEITAS E RESULTADOS POR CONVÊNIO  - ANO 2025</t>
  </si>
  <si>
    <t>JANEIRO</t>
  </si>
  <si>
    <t>CONVENIO</t>
  </si>
  <si>
    <t>Diárias por Leito</t>
  </si>
  <si>
    <t>MAT / MED</t>
  </si>
  <si>
    <t>DIARIAS</t>
  </si>
  <si>
    <t>TAXAS</t>
  </si>
  <si>
    <t>TOTAL_CUSTO</t>
  </si>
  <si>
    <t>TOTAL_VENDA</t>
  </si>
  <si>
    <t>TOTAL</t>
  </si>
  <si>
    <t>PRIV.</t>
  </si>
  <si>
    <t>SEMI-P</t>
  </si>
  <si>
    <t>UTI</t>
  </si>
  <si>
    <t>UCTI</t>
  </si>
  <si>
    <t>CUSTO</t>
  </si>
  <si>
    <t>VENDA</t>
  </si>
  <si>
    <t>RESULTADO</t>
  </si>
  <si>
    <t>ACORDO</t>
  </si>
  <si>
    <t>ACORDO JUDICIAL</t>
  </si>
  <si>
    <t>ASSEFAZ</t>
  </si>
  <si>
    <t>C.M.I</t>
  </si>
  <si>
    <t>CABERGS</t>
  </si>
  <si>
    <t>CAIXA ECONOMICA FEDERAL</t>
  </si>
  <si>
    <t>CASEMBRAPA</t>
  </si>
  <si>
    <t>CASSI</t>
  </si>
  <si>
    <t>CENTRO CLINICO GAUCHO</t>
  </si>
  <si>
    <t>EMBAIXADOR</t>
  </si>
  <si>
    <t>GEAP</t>
  </si>
  <si>
    <t>GRATUIDADE</t>
  </si>
  <si>
    <t>IPE</t>
  </si>
  <si>
    <t>IPE SEM PIN PAD</t>
  </si>
  <si>
    <t>IPIRANGA - SAMEISA</t>
  </si>
  <si>
    <t>PARTICULAR</t>
  </si>
  <si>
    <t>PETROBRAS</t>
  </si>
  <si>
    <t>POSTAL SAUDE</t>
  </si>
  <si>
    <t>SAUDE BRADESCO</t>
  </si>
  <si>
    <t>SAUDE MAIOR</t>
  </si>
  <si>
    <t>SAUDE PAS MEDICINA</t>
  </si>
  <si>
    <t>SOCIOS</t>
  </si>
  <si>
    <t>SULAMERICA</t>
  </si>
  <si>
    <t>SUS</t>
  </si>
  <si>
    <t>TRANSPORTADORA FONSECA JUNIOR LTDA - EPP</t>
  </si>
  <si>
    <t>UNIMED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</si>
  <si>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</si>
  <si>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</si>
  <si>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</si>
  <si>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</si>
  <si>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</si>
  <si>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</si>
  <si>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</si>
  <si>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</si>
  <si>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</si>
  <si>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.</t>
  </si>
  <si>
    <t>NOVEMBRO</t>
  </si>
  <si>
    <t>DEZEMBRO</t>
  </si>
  <si>
    <t>TOTAL 2025</t>
  </si>
  <si>
    <t>OBSERVAÇÕES</t>
  </si>
  <si>
    <t>No total esta somando R$  de rateio de outras receitas no Resultado Total dos Convênios</t>
  </si>
  <si>
    <t>SUS  - considera apenas o custo da diária, pois o cálculo da mesma engloba todas as despesas da conta.</t>
  </si>
  <si>
    <t>Acordo - valor recebido no Caixa de acordo com o procedimento feito e as despesas extras, quando houver.</t>
  </si>
  <si>
    <t xml:space="preserve"> Sócios - valor recebido pela mensalidade.</t>
  </si>
  <si>
    <t>TOTAL 2025 Internação + Ambulatório</t>
  </si>
  <si>
    <t>Pintei de amarelo as células que estavam com ? Do IPE</t>
  </si>
  <si>
    <t>INTERNAÇÕES HOSPITALARES - ESTUDO CUSTO/RECEITA POR CONVÊNIO - ANO 2024</t>
  </si>
  <si>
    <t>INTERNAÇÕES -</t>
  </si>
  <si>
    <t xml:space="preserve">DIÁRIAS - </t>
  </si>
  <si>
    <t>CONVÊNIO</t>
  </si>
  <si>
    <t>DIÁRIAS COBRADAS</t>
  </si>
  <si>
    <t>MAT/MED</t>
  </si>
  <si>
    <t>DIÁRIAS</t>
  </si>
  <si>
    <t>T. CUSTO</t>
  </si>
  <si>
    <t>T. VENDA</t>
  </si>
  <si>
    <t>Total</t>
  </si>
  <si>
    <t>Dif:</t>
  </si>
  <si>
    <t>INTERNAÇÕES HOSPITALARES - ESTUDO CUSTO/RECEITA POR CONVÊNIO - ANO 2023</t>
  </si>
  <si>
    <t>TOTAL SAUDE MAIOR (AMBULATORIAL + INTERNADOS)</t>
  </si>
  <si>
    <t>SAUDE MAIOR INTERNADO - Janeiro 2024 a Dezembro 2024</t>
  </si>
  <si>
    <t>TOTAL SAUDE MAIOR (AMBULATORIO/INTERNADO) - Janeiro 2023 a Dezembro 2023</t>
  </si>
  <si>
    <t>ENF</t>
  </si>
  <si>
    <t>CAIXA ECONOMICA</t>
  </si>
  <si>
    <t>E.B.C.T. / POSTAL SAÚDE</t>
  </si>
  <si>
    <t>ACORDO TOTAL AMBULATORIO / INTERNADO</t>
  </si>
  <si>
    <t>C.M.I Internado + Ambulatorial</t>
  </si>
  <si>
    <t>SOCIOS Ambulatório + Internação</t>
  </si>
  <si>
    <t>INTERNAÇÕES HOSPITALARES - ESTUDO CUSTO/RECEITA POR CONVÊNIO - ANO 2017</t>
  </si>
  <si>
    <t>INTERNAÇÕES HOSPITALARES - ESTUDO CUSTO/RECEITA POR CONVÊNIO - ANO 2018</t>
  </si>
  <si>
    <t>CAPESAUDE</t>
  </si>
  <si>
    <t>FUSEX</t>
  </si>
  <si>
    <t>INTERNAÇÕES HOSPITALARES - ESTUDO CUSTO/RECEITA POR CONVÊNIO - ANO 2019</t>
  </si>
  <si>
    <t>SENERGISUL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</si>
</sst>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_);_(* \(#,##0\);_(* &quot;-&quot;??_);_(@_)"/>
    <numFmt numFmtId="165" formatCode="#,##0.00_ ;[Red]\-#,##0.00\ "/>
    <numFmt numFmtId="166" formatCode="_-* #,##0_-;\-* #,##0_-;_-* &quot;-&quot;??_-;_-@_-"/>
  </numFmts>
  <fonts count="2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2"/>
      <name val="Arial"/>
      <family val="2"/>
    </font>
    <font>
      <i/>
      <sz val="12"/>
      <name val="Arial"/>
      <family val="2"/>
    </font>
    <font>
      <b/>
      <sz val="10"/>
      <name val="Tahoma"/>
      <family val="2"/>
    </font>
    <font>
      <b/>
      <sz val="10"/>
      <name val="Arial"/>
      <family val="2"/>
    </font>
    <font>
      <b/>
      <sz val="11"/>
      <color indexed="8"/>
      <name val="Calibri"/>
      <family val="2"/>
    </font>
    <font>
      <b/>
      <sz val="12"/>
      <name val="Book Antiqua"/>
      <family val="1"/>
    </font>
    <font>
      <b/>
      <sz val="11"/>
      <color indexed="8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b/>
      <i/>
      <u/>
      <sz val="22"/>
      <name val="Arial"/>
      <family val="2"/>
    </font>
    <font>
      <b/>
      <i/>
      <sz val="14"/>
      <name val="Arial"/>
      <family val="2"/>
    </font>
    <font>
      <b/>
      <sz val="11"/>
      <name val="Tahoma"/>
      <family val="2"/>
    </font>
    <font>
      <b/>
      <sz val="12"/>
      <name val="Tahoma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i/>
      <u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3" fontId="1" fillId="0" borderId="0"/>
    <xf numFmtId="44" fontId="16" fillId="0" borderId="0"/>
  </cellStyleXfs>
  <cellXfs count="212">
    <xf numFmtId="0" fontId="0" fillId="0" borderId="0" xfId="0"/>
    <xf numFmtId="4" fontId="0" fillId="0" borderId="0" xfId="0" applyNumberFormat="1"/>
    <xf numFmtId="0" fontId="2" fillId="0" borderId="0" xfId="0" applyFont="1"/>
    <xf numFmtId="0" fontId="6" fillId="0" borderId="0" xfId="0" applyFont="1"/>
    <xf numFmtId="0" fontId="3" fillId="0" borderId="0" xfId="0" applyFont="1"/>
    <xf numFmtId="43" fontId="6" fillId="0" borderId="14" xfId="1" applyFont="1" applyBorder="1"/>
    <xf numFmtId="3" fontId="6" fillId="0" borderId="14" xfId="1" applyNumberFormat="1" applyFont="1" applyBorder="1"/>
    <xf numFmtId="43" fontId="6" fillId="0" borderId="15" xfId="0" applyNumberFormat="1" applyFont="1" applyBorder="1" applyAlignment="1">
      <alignment horizontal="center" vertical="center"/>
    </xf>
    <xf numFmtId="43" fontId="6" fillId="0" borderId="16" xfId="0" applyNumberFormat="1" applyFont="1" applyBorder="1" applyAlignment="1">
      <alignment horizontal="center" vertical="center"/>
    </xf>
    <xf numFmtId="43" fontId="6" fillId="0" borderId="15" xfId="0" applyNumberFormat="1" applyFont="1" applyBorder="1" applyAlignment="1">
      <alignment horizontal="center"/>
    </xf>
    <xf numFmtId="43" fontId="6" fillId="0" borderId="17" xfId="0" applyNumberFormat="1" applyFont="1" applyBorder="1" applyAlignment="1">
      <alignment horizontal="center"/>
    </xf>
    <xf numFmtId="43" fontId="6" fillId="0" borderId="18" xfId="0" applyNumberFormat="1" applyFont="1" applyBorder="1" applyAlignment="1">
      <alignment horizontal="center"/>
    </xf>
    <xf numFmtId="1" fontId="0" fillId="0" borderId="19" xfId="1" applyNumberFormat="1" applyFont="1" applyBorder="1" applyAlignment="1">
      <alignment vertical="center"/>
    </xf>
    <xf numFmtId="0" fontId="0" fillId="0" borderId="0" xfId="0" applyAlignment="1">
      <alignment vertical="center"/>
    </xf>
    <xf numFmtId="43" fontId="0" fillId="0" borderId="19" xfId="1" applyFont="1" applyBorder="1" applyAlignment="1">
      <alignment vertical="center"/>
    </xf>
    <xf numFmtId="43" fontId="0" fillId="0" borderId="20" xfId="1" applyFont="1" applyBorder="1" applyAlignment="1">
      <alignment vertical="center"/>
    </xf>
    <xf numFmtId="43" fontId="0" fillId="0" borderId="21" xfId="1" applyFont="1" applyBorder="1" applyAlignment="1">
      <alignment vertical="center"/>
    </xf>
    <xf numFmtId="1" fontId="6" fillId="0" borderId="15" xfId="1" applyNumberFormat="1" applyFont="1" applyBorder="1" applyAlignment="1">
      <alignment vertical="center"/>
    </xf>
    <xf numFmtId="43" fontId="6" fillId="0" borderId="15" xfId="1" applyFont="1" applyBorder="1" applyAlignment="1">
      <alignment vertical="center"/>
    </xf>
    <xf numFmtId="43" fontId="6" fillId="0" borderId="16" xfId="1" applyFont="1" applyBorder="1" applyAlignment="1">
      <alignment vertical="center"/>
    </xf>
    <xf numFmtId="164" fontId="0" fillId="0" borderId="0" xfId="0" applyNumberFormat="1"/>
    <xf numFmtId="43" fontId="6" fillId="0" borderId="14" xfId="1" applyFont="1" applyBorder="1" applyAlignment="1">
      <alignment horizontal="right"/>
    </xf>
    <xf numFmtId="43" fontId="6" fillId="0" borderId="22" xfId="0" applyNumberFormat="1" applyFont="1" applyBorder="1" applyAlignment="1">
      <alignment horizontal="center" vertical="center"/>
    </xf>
    <xf numFmtId="165" fontId="0" fillId="0" borderId="19" xfId="1" applyNumberFormat="1" applyFont="1" applyBorder="1" applyAlignment="1">
      <alignment vertical="center"/>
    </xf>
    <xf numFmtId="165" fontId="9" fillId="0" borderId="19" xfId="1" applyNumberFormat="1" applyFont="1" applyBorder="1" applyAlignment="1">
      <alignment vertical="center"/>
    </xf>
    <xf numFmtId="4" fontId="0" fillId="0" borderId="19" xfId="1" applyNumberFormat="1" applyFont="1" applyBorder="1" applyAlignment="1">
      <alignment vertical="center"/>
    </xf>
    <xf numFmtId="43" fontId="9" fillId="0" borderId="20" xfId="1" applyFont="1" applyBorder="1" applyAlignment="1">
      <alignment vertical="center"/>
    </xf>
    <xf numFmtId="43" fontId="9" fillId="0" borderId="21" xfId="1" applyFont="1" applyBorder="1" applyAlignment="1">
      <alignment vertical="center"/>
    </xf>
    <xf numFmtId="165" fontId="0" fillId="0" borderId="0" xfId="0" applyNumberFormat="1"/>
    <xf numFmtId="165" fontId="6" fillId="0" borderId="15" xfId="0" applyNumberFormat="1" applyFont="1" applyBorder="1" applyAlignment="1">
      <alignment horizontal="center"/>
    </xf>
    <xf numFmtId="165" fontId="6" fillId="0" borderId="16" xfId="1" applyNumberFormat="1" applyFont="1" applyBorder="1" applyAlignment="1">
      <alignment vertical="center"/>
    </xf>
    <xf numFmtId="43" fontId="6" fillId="0" borderId="23" xfId="1" applyFont="1" applyBorder="1"/>
    <xf numFmtId="43" fontId="2" fillId="0" borderId="23" xfId="1" applyFont="1" applyBorder="1"/>
    <xf numFmtId="43" fontId="2" fillId="0" borderId="24" xfId="1" applyFont="1" applyBorder="1"/>
    <xf numFmtId="0" fontId="7" fillId="0" borderId="0" xfId="0" applyFont="1"/>
    <xf numFmtId="43" fontId="2" fillId="0" borderId="0" xfId="1" applyFont="1"/>
    <xf numFmtId="165" fontId="0" fillId="0" borderId="0" xfId="0" applyNumberFormat="1" applyAlignment="1">
      <alignment vertical="center"/>
    </xf>
    <xf numFmtId="4" fontId="9" fillId="0" borderId="20" xfId="1" applyNumberFormat="1" applyFont="1" applyBorder="1" applyAlignment="1">
      <alignment vertical="center"/>
    </xf>
    <xf numFmtId="4" fontId="7" fillId="0" borderId="19" xfId="1" applyNumberFormat="1" applyFont="1" applyBorder="1" applyAlignment="1">
      <alignment vertical="center"/>
    </xf>
    <xf numFmtId="165" fontId="7" fillId="0" borderId="19" xfId="1" applyNumberFormat="1" applyFont="1" applyBorder="1" applyAlignment="1">
      <alignment vertical="center"/>
    </xf>
    <xf numFmtId="4" fontId="0" fillId="0" borderId="20" xfId="1" applyNumberFormat="1" applyFont="1" applyBorder="1" applyAlignment="1">
      <alignment vertical="center"/>
    </xf>
    <xf numFmtId="4" fontId="0" fillId="0" borderId="34" xfId="1" applyNumberFormat="1" applyFont="1" applyBorder="1" applyAlignment="1">
      <alignment vertical="center"/>
    </xf>
    <xf numFmtId="1" fontId="0" fillId="0" borderId="36" xfId="1" applyNumberFormat="1" applyFont="1" applyBorder="1" applyAlignment="1">
      <alignment vertical="center"/>
    </xf>
    <xf numFmtId="1" fontId="0" fillId="0" borderId="18" xfId="1" applyNumberFormat="1" applyFont="1" applyBorder="1" applyAlignment="1">
      <alignment vertical="center"/>
    </xf>
    <xf numFmtId="1" fontId="0" fillId="0" borderId="35" xfId="1" applyNumberFormat="1" applyFont="1" applyBorder="1" applyAlignment="1">
      <alignment vertical="center"/>
    </xf>
    <xf numFmtId="1" fontId="0" fillId="0" borderId="23" xfId="1" applyNumberFormat="1" applyFont="1" applyBorder="1" applyAlignment="1">
      <alignment vertical="center"/>
    </xf>
    <xf numFmtId="43" fontId="0" fillId="0" borderId="35" xfId="1" applyFont="1" applyBorder="1" applyAlignment="1">
      <alignment vertical="center"/>
    </xf>
    <xf numFmtId="43" fontId="0" fillId="0" borderId="36" xfId="1" applyFont="1" applyBorder="1" applyAlignment="1">
      <alignment vertical="center"/>
    </xf>
    <xf numFmtId="43" fontId="0" fillId="0" borderId="18" xfId="1" applyFont="1" applyBorder="1" applyAlignment="1">
      <alignment vertical="center"/>
    </xf>
    <xf numFmtId="4" fontId="6" fillId="0" borderId="15" xfId="1" applyNumberFormat="1" applyFont="1" applyBorder="1" applyAlignment="1">
      <alignment vertical="center"/>
    </xf>
    <xf numFmtId="4" fontId="0" fillId="0" borderId="35" xfId="1" applyNumberFormat="1" applyFont="1" applyBorder="1" applyAlignment="1">
      <alignment vertical="center"/>
    </xf>
    <xf numFmtId="4" fontId="0" fillId="0" borderId="36" xfId="1" applyNumberFormat="1" applyFont="1" applyBorder="1" applyAlignment="1">
      <alignment vertical="center"/>
    </xf>
    <xf numFmtId="165" fontId="9" fillId="0" borderId="21" xfId="1" applyNumberFormat="1" applyFont="1" applyBorder="1" applyAlignment="1">
      <alignment vertical="center"/>
    </xf>
    <xf numFmtId="0" fontId="10" fillId="0" borderId="0" xfId="0" applyFont="1"/>
    <xf numFmtId="43" fontId="10" fillId="0" borderId="0" xfId="1" applyFont="1"/>
    <xf numFmtId="43" fontId="10" fillId="0" borderId="14" xfId="1" applyFont="1" applyBorder="1"/>
    <xf numFmtId="0" fontId="11" fillId="0" borderId="0" xfId="0" applyFont="1"/>
    <xf numFmtId="40" fontId="0" fillId="0" borderId="0" xfId="0" applyNumberFormat="1"/>
    <xf numFmtId="0" fontId="6" fillId="0" borderId="25" xfId="0" applyFont="1" applyBorder="1"/>
    <xf numFmtId="0" fontId="6" fillId="0" borderId="22" xfId="0" applyFont="1" applyBorder="1"/>
    <xf numFmtId="43" fontId="6" fillId="0" borderId="22" xfId="1" applyFont="1" applyBorder="1"/>
    <xf numFmtId="3" fontId="6" fillId="0" borderId="22" xfId="1" applyNumberFormat="1" applyFont="1" applyBorder="1" applyAlignment="1">
      <alignment horizontal="left"/>
    </xf>
    <xf numFmtId="165" fontId="0" fillId="0" borderId="16" xfId="0" applyNumberFormat="1" applyBorder="1"/>
    <xf numFmtId="1" fontId="0" fillId="0" borderId="0" xfId="0" applyNumberFormat="1"/>
    <xf numFmtId="3" fontId="0" fillId="0" borderId="0" xfId="0" applyNumberFormat="1"/>
    <xf numFmtId="43" fontId="0" fillId="0" borderId="23" xfId="1" applyFont="1" applyBorder="1" applyAlignment="1">
      <alignment vertical="center"/>
    </xf>
    <xf numFmtId="43" fontId="9" fillId="0" borderId="36" xfId="1" applyFont="1" applyBorder="1" applyAlignment="1">
      <alignment vertical="center"/>
    </xf>
    <xf numFmtId="43" fontId="0" fillId="0" borderId="6" xfId="1" applyFont="1" applyBorder="1"/>
    <xf numFmtId="43" fontId="14" fillId="0" borderId="3" xfId="1" applyFont="1" applyBorder="1" applyAlignment="1">
      <alignment horizontal="right" vertical="top" wrapText="1"/>
    </xf>
    <xf numFmtId="43" fontId="0" fillId="0" borderId="40" xfId="1" applyFont="1" applyBorder="1"/>
    <xf numFmtId="43" fontId="0" fillId="0" borderId="0" xfId="1" applyFont="1"/>
    <xf numFmtId="43" fontId="0" fillId="0" borderId="5" xfId="1" applyFont="1" applyBorder="1"/>
    <xf numFmtId="43" fontId="14" fillId="0" borderId="37" xfId="1" applyFont="1" applyBorder="1" applyAlignment="1">
      <alignment horizontal="right" vertical="top" wrapText="1"/>
    </xf>
    <xf numFmtId="43" fontId="14" fillId="0" borderId="9" xfId="1" applyFont="1" applyBorder="1" applyAlignment="1">
      <alignment horizontal="right" vertical="top" wrapText="1"/>
    </xf>
    <xf numFmtId="43" fontId="14" fillId="0" borderId="26" xfId="1" applyFont="1" applyBorder="1" applyAlignment="1">
      <alignment horizontal="right" vertical="top" wrapText="1"/>
    </xf>
    <xf numFmtId="43" fontId="0" fillId="0" borderId="14" xfId="1" applyFont="1" applyBorder="1"/>
    <xf numFmtId="43" fontId="0" fillId="0" borderId="20" xfId="1" applyFont="1" applyBorder="1"/>
    <xf numFmtId="43" fontId="0" fillId="0" borderId="17" xfId="1" applyFont="1" applyBorder="1"/>
    <xf numFmtId="165" fontId="14" fillId="0" borderId="3" xfId="1" applyNumberFormat="1" applyFont="1" applyBorder="1" applyAlignment="1">
      <alignment horizontal="right" vertical="top" wrapText="1"/>
    </xf>
    <xf numFmtId="165" fontId="0" fillId="0" borderId="0" xfId="1" applyNumberFormat="1" applyFont="1"/>
    <xf numFmtId="165" fontId="14" fillId="0" borderId="27" xfId="1" applyNumberFormat="1" applyFont="1" applyBorder="1" applyAlignment="1">
      <alignment horizontal="right" vertical="top" wrapText="1"/>
    </xf>
    <xf numFmtId="165" fontId="0" fillId="0" borderId="22" xfId="1" applyNumberFormat="1" applyFont="1" applyBorder="1"/>
    <xf numFmtId="0" fontId="11" fillId="4" borderId="0" xfId="0" applyFont="1" applyFill="1"/>
    <xf numFmtId="43" fontId="2" fillId="4" borderId="0" xfId="1" applyFont="1" applyFill="1"/>
    <xf numFmtId="165" fontId="6" fillId="0" borderId="15" xfId="1" applyNumberFormat="1" applyFont="1" applyBorder="1" applyAlignment="1">
      <alignment vertical="center"/>
    </xf>
    <xf numFmtId="43" fontId="15" fillId="3" borderId="31" xfId="1" applyFont="1" applyFill="1" applyBorder="1" applyAlignment="1">
      <alignment horizontal="right" vertical="center" wrapText="1"/>
    </xf>
    <xf numFmtId="43" fontId="18" fillId="6" borderId="45" xfId="0" applyNumberFormat="1" applyFont="1" applyFill="1" applyBorder="1" applyAlignment="1">
      <alignment horizontal="center"/>
    </xf>
    <xf numFmtId="43" fontId="18" fillId="6" borderId="44" xfId="0" applyNumberFormat="1" applyFont="1" applyFill="1" applyBorder="1" applyAlignment="1">
      <alignment horizontal="center"/>
    </xf>
    <xf numFmtId="43" fontId="18" fillId="6" borderId="42" xfId="0" applyNumberFormat="1" applyFont="1" applyFill="1" applyBorder="1" applyAlignment="1">
      <alignment horizontal="center"/>
    </xf>
    <xf numFmtId="43" fontId="18" fillId="5" borderId="39" xfId="0" applyNumberFormat="1" applyFont="1" applyFill="1" applyBorder="1" applyAlignment="1">
      <alignment horizontal="center"/>
    </xf>
    <xf numFmtId="43" fontId="18" fillId="5" borderId="12" xfId="0" applyNumberFormat="1" applyFont="1" applyFill="1" applyBorder="1" applyAlignment="1">
      <alignment horizontal="center"/>
    </xf>
    <xf numFmtId="165" fontId="18" fillId="5" borderId="42" xfId="0" applyNumberFormat="1" applyFont="1" applyFill="1" applyBorder="1" applyAlignment="1">
      <alignment horizontal="center"/>
    </xf>
    <xf numFmtId="43" fontId="17" fillId="6" borderId="4" xfId="0" applyNumberFormat="1" applyFont="1" applyFill="1" applyBorder="1"/>
    <xf numFmtId="43" fontId="17" fillId="6" borderId="11" xfId="0" applyNumberFormat="1" applyFont="1" applyFill="1" applyBorder="1"/>
    <xf numFmtId="43" fontId="17" fillId="6" borderId="41" xfId="0" applyNumberFormat="1" applyFont="1" applyFill="1" applyBorder="1"/>
    <xf numFmtId="43" fontId="17" fillId="5" borderId="8" xfId="0" applyNumberFormat="1" applyFont="1" applyFill="1" applyBorder="1"/>
    <xf numFmtId="43" fontId="17" fillId="5" borderId="40" xfId="0" applyNumberFormat="1" applyFont="1" applyFill="1" applyBorder="1"/>
    <xf numFmtId="43" fontId="17" fillId="5" borderId="41" xfId="0" applyNumberFormat="1" applyFont="1" applyFill="1" applyBorder="1"/>
    <xf numFmtId="43" fontId="18" fillId="7" borderId="12" xfId="0" applyNumberFormat="1" applyFont="1" applyFill="1" applyBorder="1" applyAlignment="1">
      <alignment horizontal="center"/>
    </xf>
    <xf numFmtId="43" fontId="17" fillId="7" borderId="40" xfId="0" applyNumberFormat="1" applyFont="1" applyFill="1" applyBorder="1"/>
    <xf numFmtId="43" fontId="17" fillId="6" borderId="7" xfId="0" applyNumberFormat="1" applyFont="1" applyFill="1" applyBorder="1"/>
    <xf numFmtId="43" fontId="18" fillId="7" borderId="45" xfId="0" applyNumberFormat="1" applyFont="1" applyFill="1" applyBorder="1" applyAlignment="1">
      <alignment horizontal="center"/>
    </xf>
    <xf numFmtId="43" fontId="17" fillId="7" borderId="4" xfId="0" applyNumberFormat="1" applyFont="1" applyFill="1" applyBorder="1"/>
    <xf numFmtId="43" fontId="17" fillId="8" borderId="4" xfId="0" applyNumberFormat="1" applyFont="1" applyFill="1" applyBorder="1"/>
    <xf numFmtId="43" fontId="17" fillId="8" borderId="40" xfId="0" applyNumberFormat="1" applyFont="1" applyFill="1" applyBorder="1"/>
    <xf numFmtId="43" fontId="17" fillId="8" borderId="41" xfId="0" applyNumberFormat="1" applyFont="1" applyFill="1" applyBorder="1"/>
    <xf numFmtId="165" fontId="6" fillId="7" borderId="17" xfId="1" applyNumberFormat="1" applyFont="1" applyFill="1" applyBorder="1" applyAlignment="1">
      <alignment vertical="center"/>
    </xf>
    <xf numFmtId="165" fontId="18" fillId="7" borderId="1" xfId="0" applyNumberFormat="1" applyFont="1" applyFill="1" applyBorder="1" applyAlignment="1">
      <alignment horizontal="center"/>
    </xf>
    <xf numFmtId="44" fontId="0" fillId="0" borderId="5" xfId="2" applyFont="1" applyBorder="1"/>
    <xf numFmtId="43" fontId="5" fillId="3" borderId="43" xfId="1" applyFont="1" applyFill="1" applyBorder="1" applyAlignment="1">
      <alignment horizontal="center" vertical="top" wrapText="1"/>
    </xf>
    <xf numFmtId="43" fontId="5" fillId="3" borderId="46" xfId="1" applyFont="1" applyFill="1" applyBorder="1" applyAlignment="1">
      <alignment horizontal="center" vertical="top" wrapText="1"/>
    </xf>
    <xf numFmtId="43" fontId="0" fillId="0" borderId="10" xfId="1" applyFont="1" applyBorder="1"/>
    <xf numFmtId="43" fontId="0" fillId="0" borderId="37" xfId="1" applyFont="1" applyBorder="1"/>
    <xf numFmtId="43" fontId="0" fillId="0" borderId="47" xfId="1" applyFont="1" applyBorder="1"/>
    <xf numFmtId="43" fontId="15" fillId="3" borderId="22" xfId="1" applyFont="1" applyFill="1" applyBorder="1" applyAlignment="1">
      <alignment horizontal="right" vertical="center" wrapText="1"/>
    </xf>
    <xf numFmtId="165" fontId="14" fillId="0" borderId="2" xfId="1" applyNumberFormat="1" applyFont="1" applyBorder="1" applyAlignment="1">
      <alignment horizontal="right" vertical="top" wrapText="1"/>
    </xf>
    <xf numFmtId="43" fontId="5" fillId="3" borderId="15" xfId="1" applyFont="1" applyFill="1" applyBorder="1" applyAlignment="1">
      <alignment horizontal="center" vertical="top" wrapText="1"/>
    </xf>
    <xf numFmtId="43" fontId="5" fillId="3" borderId="29" xfId="1" applyFont="1" applyFill="1" applyBorder="1" applyAlignment="1">
      <alignment horizontal="center" vertical="top" wrapText="1"/>
    </xf>
    <xf numFmtId="165" fontId="5" fillId="3" borderId="15" xfId="1" applyNumberFormat="1" applyFont="1" applyFill="1" applyBorder="1" applyAlignment="1">
      <alignment horizontal="center" vertical="top" wrapText="1"/>
    </xf>
    <xf numFmtId="43" fontId="5" fillId="3" borderId="17" xfId="1" applyFont="1" applyFill="1" applyBorder="1" applyAlignment="1">
      <alignment horizontal="center" vertical="top" wrapText="1"/>
    </xf>
    <xf numFmtId="165" fontId="5" fillId="3" borderId="18" xfId="1" applyNumberFormat="1" applyFont="1" applyFill="1" applyBorder="1" applyAlignment="1">
      <alignment horizontal="center" vertical="top" wrapText="1"/>
    </xf>
    <xf numFmtId="43" fontId="15" fillId="3" borderId="24" xfId="1" applyFont="1" applyFill="1" applyBorder="1" applyAlignment="1">
      <alignment horizontal="center" vertical="center" wrapText="1"/>
    </xf>
    <xf numFmtId="43" fontId="5" fillId="3" borderId="14" xfId="1" applyFont="1" applyFill="1" applyBorder="1" applyAlignment="1">
      <alignment horizontal="center" vertical="top" wrapText="1"/>
    </xf>
    <xf numFmtId="0" fontId="20" fillId="0" borderId="13" xfId="0" applyFont="1" applyBorder="1"/>
    <xf numFmtId="0" fontId="20" fillId="0" borderId="3" xfId="0" applyFont="1" applyBorder="1"/>
    <xf numFmtId="0" fontId="19" fillId="0" borderId="3" xfId="0" applyFont="1" applyBorder="1"/>
    <xf numFmtId="0" fontId="20" fillId="0" borderId="26" xfId="0" applyFont="1" applyBorder="1"/>
    <xf numFmtId="41" fontId="15" fillId="3" borderId="31" xfId="1" applyNumberFormat="1" applyFont="1" applyFill="1" applyBorder="1" applyAlignment="1">
      <alignment horizontal="center" vertical="center" wrapText="1"/>
    </xf>
    <xf numFmtId="43" fontId="15" fillId="3" borderId="15" xfId="1" applyFont="1" applyFill="1" applyBorder="1" applyAlignment="1">
      <alignment horizontal="right" vertical="center" wrapText="1"/>
    </xf>
    <xf numFmtId="165" fontId="15" fillId="3" borderId="15" xfId="1" applyNumberFormat="1" applyFont="1" applyFill="1" applyBorder="1" applyAlignment="1">
      <alignment horizontal="right" vertical="center" wrapText="1"/>
    </xf>
    <xf numFmtId="0" fontId="0" fillId="0" borderId="37" xfId="0" applyBorder="1"/>
    <xf numFmtId="0" fontId="0" fillId="0" borderId="47" xfId="0" applyBorder="1"/>
    <xf numFmtId="0" fontId="0" fillId="0" borderId="3" xfId="0" applyBorder="1"/>
    <xf numFmtId="0" fontId="0" fillId="0" borderId="26" xfId="0" applyBorder="1"/>
    <xf numFmtId="43" fontId="4" fillId="6" borderId="22" xfId="1" applyFont="1" applyFill="1" applyBorder="1"/>
    <xf numFmtId="165" fontId="4" fillId="6" borderId="16" xfId="1" applyNumberFormat="1" applyFont="1" applyFill="1" applyBorder="1"/>
    <xf numFmtId="165" fontId="21" fillId="0" borderId="0" xfId="0" applyNumberFormat="1" applyFont="1"/>
    <xf numFmtId="165" fontId="21" fillId="0" borderId="16" xfId="0" applyNumberFormat="1" applyFont="1" applyBorder="1"/>
    <xf numFmtId="43" fontId="21" fillId="0" borderId="35" xfId="1" applyFont="1" applyBorder="1" applyAlignment="1">
      <alignment vertical="center"/>
    </xf>
    <xf numFmtId="43" fontId="21" fillId="0" borderId="36" xfId="1" applyFont="1" applyBorder="1" applyAlignment="1">
      <alignment vertical="center"/>
    </xf>
    <xf numFmtId="0" fontId="21" fillId="0" borderId="0" xfId="0" applyFont="1"/>
    <xf numFmtId="0" fontId="0" fillId="0" borderId="6" xfId="0" applyBorder="1"/>
    <xf numFmtId="43" fontId="14" fillId="0" borderId="28" xfId="1" applyFont="1" applyBorder="1" applyAlignment="1">
      <alignment horizontal="center" vertical="top" wrapText="1"/>
    </xf>
    <xf numFmtId="43" fontId="14" fillId="0" borderId="35" xfId="1" applyFont="1" applyBorder="1" applyAlignment="1">
      <alignment horizontal="center" vertical="top" wrapText="1"/>
    </xf>
    <xf numFmtId="166" fontId="13" fillId="6" borderId="22" xfId="1" applyNumberFormat="1" applyFont="1" applyFill="1" applyBorder="1" applyAlignment="1">
      <alignment horizontal="left" vertical="center"/>
    </xf>
    <xf numFmtId="43" fontId="16" fillId="0" borderId="0" xfId="1" applyFont="1"/>
    <xf numFmtId="0" fontId="20" fillId="0" borderId="48" xfId="0" applyFont="1" applyBorder="1"/>
    <xf numFmtId="0" fontId="20" fillId="0" borderId="49" xfId="0" applyFont="1" applyBorder="1"/>
    <xf numFmtId="0" fontId="19" fillId="0" borderId="49" xfId="0" applyFont="1" applyBorder="1"/>
    <xf numFmtId="0" fontId="20" fillId="0" borderId="7" xfId="0" applyFont="1" applyBorder="1"/>
    <xf numFmtId="0" fontId="0" fillId="0" borderId="50" xfId="0" applyBorder="1"/>
    <xf numFmtId="43" fontId="5" fillId="3" borderId="35" xfId="1" applyFont="1" applyFill="1" applyBorder="1" applyAlignment="1">
      <alignment horizontal="center" vertical="top" wrapText="1"/>
    </xf>
    <xf numFmtId="43" fontId="5" fillId="3" borderId="33" xfId="1" applyFont="1" applyFill="1" applyBorder="1" applyAlignment="1">
      <alignment horizontal="center" vertical="top" wrapText="1"/>
    </xf>
    <xf numFmtId="41" fontId="15" fillId="3" borderId="43" xfId="1" applyNumberFormat="1" applyFont="1" applyFill="1" applyBorder="1" applyAlignment="1">
      <alignment horizontal="center" vertical="center" wrapText="1"/>
    </xf>
    <xf numFmtId="0" fontId="0" fillId="0" borderId="51" xfId="0" applyBorder="1"/>
    <xf numFmtId="0" fontId="0" fillId="0" borderId="52" xfId="0" applyBorder="1"/>
    <xf numFmtId="0" fontId="0" fillId="0" borderId="1" xfId="0" applyBorder="1"/>
    <xf numFmtId="0" fontId="0" fillId="0" borderId="53" xfId="0" applyBorder="1"/>
    <xf numFmtId="0" fontId="0" fillId="0" borderId="4" xfId="0" applyBorder="1"/>
    <xf numFmtId="0" fontId="0" fillId="0" borderId="40" xfId="0" applyBorder="1"/>
    <xf numFmtId="0" fontId="0" fillId="0" borderId="41" xfId="0" applyBorder="1"/>
    <xf numFmtId="166" fontId="13" fillId="6" borderId="22" xfId="1" applyNumberFormat="1" applyFont="1" applyFill="1" applyBorder="1" applyAlignment="1">
      <alignment vertical="center"/>
    </xf>
    <xf numFmtId="44" fontId="0" fillId="0" borderId="35" xfId="2" applyFont="1" applyBorder="1" applyAlignment="1">
      <alignment vertical="center"/>
    </xf>
    <xf numFmtId="44" fontId="0" fillId="0" borderId="20" xfId="2" applyFont="1" applyBorder="1" applyAlignment="1">
      <alignment vertical="center"/>
    </xf>
    <xf numFmtId="44" fontId="9" fillId="0" borderId="21" xfId="2" applyFont="1" applyBorder="1" applyAlignment="1">
      <alignment vertical="center"/>
    </xf>
    <xf numFmtId="44" fontId="0" fillId="0" borderId="19" xfId="2" applyFont="1" applyBorder="1" applyAlignment="1">
      <alignment vertical="center"/>
    </xf>
    <xf numFmtId="43" fontId="0" fillId="0" borderId="0" xfId="0" applyNumberFormat="1"/>
    <xf numFmtId="44" fontId="0" fillId="0" borderId="0" xfId="2" applyFont="1"/>
    <xf numFmtId="43" fontId="5" fillId="3" borderId="2" xfId="1" applyFont="1" applyFill="1" applyBorder="1" applyAlignment="1">
      <alignment horizontal="center" vertical="center" wrapText="1"/>
    </xf>
    <xf numFmtId="0" fontId="0" fillId="0" borderId="13" xfId="0" applyBorder="1"/>
    <xf numFmtId="43" fontId="5" fillId="3" borderId="15" xfId="1" applyFont="1" applyFill="1" applyBorder="1" applyAlignment="1">
      <alignment horizontal="center" vertical="top" wrapText="1"/>
    </xf>
    <xf numFmtId="0" fontId="0" fillId="0" borderId="16" xfId="0" applyBorder="1"/>
    <xf numFmtId="43" fontId="13" fillId="3" borderId="15" xfId="1" applyFont="1" applyFill="1" applyBorder="1" applyAlignment="1">
      <alignment horizontal="center" vertical="center"/>
    </xf>
    <xf numFmtId="0" fontId="0" fillId="0" borderId="22" xfId="0" applyBorder="1"/>
    <xf numFmtId="43" fontId="14" fillId="3" borderId="16" xfId="1" applyFont="1" applyFill="1" applyBorder="1" applyAlignment="1">
      <alignment horizontal="center" vertical="top" wrapText="1"/>
    </xf>
    <xf numFmtId="166" fontId="13" fillId="6" borderId="22" xfId="1" applyNumberFormat="1" applyFont="1" applyFill="1" applyBorder="1" applyAlignment="1">
      <alignment horizontal="left" vertical="center"/>
    </xf>
    <xf numFmtId="43" fontId="13" fillId="6" borderId="22" xfId="1" applyFont="1" applyFill="1" applyBorder="1" applyAlignment="1">
      <alignment horizontal="right" vertical="center"/>
    </xf>
    <xf numFmtId="0" fontId="12" fillId="0" borderId="14" xfId="0" applyFont="1" applyBorder="1" applyAlignment="1">
      <alignment horizontal="center" vertical="center"/>
    </xf>
    <xf numFmtId="0" fontId="10" fillId="0" borderId="0" xfId="0" applyFont="1"/>
    <xf numFmtId="43" fontId="0" fillId="0" borderId="0" xfId="1" applyFont="1"/>
    <xf numFmtId="165" fontId="0" fillId="0" borderId="0" xfId="1" applyNumberFormat="1" applyFont="1"/>
    <xf numFmtId="0" fontId="0" fillId="0" borderId="14" xfId="0" applyBorder="1"/>
    <xf numFmtId="43" fontId="13" fillId="6" borderId="22" xfId="1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/>
    </xf>
    <xf numFmtId="0" fontId="0" fillId="0" borderId="29" xfId="0" applyBorder="1"/>
    <xf numFmtId="0" fontId="0" fillId="0" borderId="30" xfId="0" applyBorder="1"/>
    <xf numFmtId="43" fontId="6" fillId="0" borderId="31" xfId="0" applyNumberFormat="1" applyFont="1" applyBorder="1" applyAlignment="1">
      <alignment horizontal="center"/>
    </xf>
    <xf numFmtId="0" fontId="0" fillId="0" borderId="38" xfId="0" applyBorder="1"/>
    <xf numFmtId="0" fontId="8" fillId="2" borderId="19" xfId="0" applyFont="1" applyFill="1" applyBorder="1" applyAlignment="1">
      <alignment horizontal="left" vertical="center"/>
    </xf>
    <xf numFmtId="0" fontId="0" fillId="0" borderId="34" xfId="0" applyBorder="1"/>
    <xf numFmtId="43" fontId="6" fillId="0" borderId="16" xfId="0" applyNumberFormat="1" applyFont="1" applyBorder="1" applyAlignment="1">
      <alignment horizontal="center"/>
    </xf>
    <xf numFmtId="43" fontId="6" fillId="0" borderId="22" xfId="1" applyFont="1" applyBorder="1" applyAlignment="1">
      <alignment horizontal="right"/>
    </xf>
    <xf numFmtId="0" fontId="8" fillId="2" borderId="32" xfId="0" applyFont="1" applyFill="1" applyBorder="1" applyAlignment="1">
      <alignment horizontal="left" vertical="center"/>
    </xf>
    <xf numFmtId="0" fontId="0" fillId="0" borderId="54" xfId="0" applyBorder="1"/>
    <xf numFmtId="43" fontId="6" fillId="0" borderId="15" xfId="0" applyNumberFormat="1" applyFont="1" applyBorder="1" applyAlignment="1">
      <alignment horizontal="center" vertical="center"/>
    </xf>
    <xf numFmtId="0" fontId="8" fillId="2" borderId="31" xfId="0" applyFont="1" applyFill="1" applyBorder="1" applyAlignment="1">
      <alignment horizontal="left" vertical="center"/>
    </xf>
    <xf numFmtId="0" fontId="0" fillId="0" borderId="24" xfId="0" applyBorder="1"/>
    <xf numFmtId="0" fontId="0" fillId="0" borderId="17" xfId="0" applyBorder="1"/>
    <xf numFmtId="0" fontId="3" fillId="0" borderId="0" xfId="0" applyFont="1" applyAlignment="1">
      <alignment horizontal="center"/>
    </xf>
    <xf numFmtId="0" fontId="0" fillId="0" borderId="0" xfId="0"/>
    <xf numFmtId="165" fontId="0" fillId="0" borderId="0" xfId="0" applyNumberFormat="1"/>
    <xf numFmtId="40" fontId="0" fillId="0" borderId="0" xfId="0" applyNumberFormat="1"/>
    <xf numFmtId="0" fontId="7" fillId="0" borderId="0" xfId="0" applyFont="1"/>
    <xf numFmtId="0" fontId="22" fillId="0" borderId="0" xfId="0" applyFont="1" applyAlignment="1">
      <alignment horizontal="center" vertical="center"/>
    </xf>
    <xf numFmtId="0" fontId="21" fillId="0" borderId="0" xfId="0" applyFont="1"/>
    <xf numFmtId="4" fontId="0" fillId="0" borderId="0" xfId="0" applyNumberFormat="1"/>
    <xf numFmtId="43" fontId="18" fillId="6" borderId="31" xfId="0" applyNumberFormat="1" applyFont="1" applyFill="1" applyBorder="1" applyAlignment="1">
      <alignment horizontal="center"/>
    </xf>
    <xf numFmtId="43" fontId="18" fillId="7" borderId="31" xfId="0" applyNumberFormat="1" applyFont="1" applyFill="1" applyBorder="1" applyAlignment="1">
      <alignment horizontal="center"/>
    </xf>
    <xf numFmtId="43" fontId="18" fillId="5" borderId="38" xfId="0" applyNumberFormat="1" applyFont="1" applyFill="1" applyBorder="1" applyAlignment="1">
      <alignment horizontal="center"/>
    </xf>
    <xf numFmtId="0" fontId="17" fillId="6" borderId="15" xfId="0" applyFont="1" applyFill="1" applyBorder="1" applyAlignment="1">
      <alignment horizontal="center"/>
    </xf>
    <xf numFmtId="43" fontId="6" fillId="0" borderId="14" xfId="1" applyFont="1" applyBorder="1" applyAlignment="1">
      <alignment horizontal="right"/>
    </xf>
    <xf numFmtId="165" fontId="8" fillId="2" borderId="32" xfId="0" applyNumberFormat="1" applyFont="1" applyFill="1" applyBorder="1" applyAlignment="1">
      <alignment horizontal="left" vertic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8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3.xml"/><Relationship Id="rId42" Type="http://schemas.openxmlformats.org/officeDocument/2006/relationships/externalLink" Target="externalLinks/externalLink11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externalLink" Target="externalLinks/externalLink6.xml"/><Relationship Id="rId40" Type="http://schemas.openxmlformats.org/officeDocument/2006/relationships/externalLink" Target="externalLinks/externalLink9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4.xml"/><Relationship Id="rId43" Type="http://schemas.openxmlformats.org/officeDocument/2006/relationships/externalLink" Target="externalLinks/externalLink1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2.xml"/><Relationship Id="rId38" Type="http://schemas.openxmlformats.org/officeDocument/2006/relationships/externalLink" Target="externalLinks/externalLink7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0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5\Custo%20Receita%202025%20AMB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2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3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4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5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6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0\Custo%20Receita%202018%20AMB%20(version%201)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2\Custo%20Receita%202012%20AMB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16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19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2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e"/>
      <sheetName val="Demonstrativo hospitalar"/>
      <sheetName val="Planilha1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2">
          <cell r="C42">
            <v>527</v>
          </cell>
          <cell r="D42">
            <v>502</v>
          </cell>
          <cell r="E42">
            <v>544</v>
          </cell>
          <cell r="F42">
            <v>515</v>
          </cell>
          <cell r="G42">
            <v>581</v>
          </cell>
          <cell r="H42">
            <v>522</v>
          </cell>
          <cell r="I42">
            <v>598</v>
          </cell>
          <cell r="J42">
            <v>524</v>
          </cell>
          <cell r="K42">
            <v>542</v>
          </cell>
          <cell r="L42">
            <v>578</v>
          </cell>
          <cell r="M42">
            <v>522</v>
          </cell>
          <cell r="N42">
            <v>485</v>
          </cell>
          <cell r="O42">
            <v>6440</v>
          </cell>
        </row>
        <row r="88">
          <cell r="C88">
            <v>4497</v>
          </cell>
          <cell r="D88">
            <v>4030</v>
          </cell>
          <cell r="E88">
            <v>4808</v>
          </cell>
          <cell r="F88">
            <v>4748</v>
          </cell>
          <cell r="G88">
            <v>4971</v>
          </cell>
          <cell r="H88">
            <v>4805</v>
          </cell>
          <cell r="I88">
            <v>4959</v>
          </cell>
          <cell r="J88">
            <v>4920</v>
          </cell>
          <cell r="K88">
            <v>4648</v>
          </cell>
          <cell r="L88">
            <v>4829</v>
          </cell>
          <cell r="M88">
            <v>4330</v>
          </cell>
          <cell r="N88">
            <v>4241</v>
          </cell>
          <cell r="O88">
            <v>55786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CABERGS"/>
      <sheetName val="CAIXA ECONOMICA FEDERAL"/>
      <sheetName val="CASSI"/>
      <sheetName val="CM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>
        <row r="382">
          <cell r="B382">
            <v>63191.80999999999</v>
          </cell>
          <cell r="C382">
            <v>0</v>
          </cell>
          <cell r="D382">
            <v>628038.42999999993</v>
          </cell>
          <cell r="E382">
            <v>0</v>
          </cell>
          <cell r="G382">
            <v>850552.15999999992</v>
          </cell>
        </row>
        <row r="383">
          <cell r="B383">
            <v>1177.4100000000001</v>
          </cell>
          <cell r="C383">
            <v>0</v>
          </cell>
          <cell r="D383">
            <v>11481.79</v>
          </cell>
          <cell r="E383">
            <v>0</v>
          </cell>
          <cell r="G383">
            <v>1696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G384">
            <v>0</v>
          </cell>
        </row>
        <row r="385">
          <cell r="B385">
            <v>4507.6499999999996</v>
          </cell>
          <cell r="C385">
            <v>2228.12</v>
          </cell>
          <cell r="D385">
            <v>53540.770000000004</v>
          </cell>
          <cell r="E385">
            <v>41628.660000000003</v>
          </cell>
          <cell r="G385">
            <v>204282</v>
          </cell>
        </row>
        <row r="386">
          <cell r="B386">
            <v>232.59</v>
          </cell>
          <cell r="C386">
            <v>3278.29</v>
          </cell>
          <cell r="D386">
            <v>8404.6</v>
          </cell>
          <cell r="E386">
            <v>6916.66</v>
          </cell>
          <cell r="G386">
            <v>10194.950000000001</v>
          </cell>
        </row>
        <row r="387">
          <cell r="B387">
            <v>2095.63</v>
          </cell>
          <cell r="C387">
            <v>23208.07</v>
          </cell>
          <cell r="D387">
            <v>4215.8100000000004</v>
          </cell>
          <cell r="E387">
            <v>3020.09</v>
          </cell>
          <cell r="G387">
            <v>26228.16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G388">
            <v>0</v>
          </cell>
        </row>
        <row r="389">
          <cell r="B389">
            <v>1133735.67</v>
          </cell>
          <cell r="C389">
            <v>2709815.5100000002</v>
          </cell>
          <cell r="D389">
            <v>23498.19</v>
          </cell>
          <cell r="E389">
            <v>13177.39</v>
          </cell>
          <cell r="G389">
            <v>2722992.9</v>
          </cell>
        </row>
        <row r="390">
          <cell r="B390">
            <v>2618.69</v>
          </cell>
          <cell r="C390">
            <v>28452.170000000002</v>
          </cell>
          <cell r="D390">
            <v>48544.470000000008</v>
          </cell>
          <cell r="E390">
            <v>32120.219999999998</v>
          </cell>
          <cell r="G390">
            <v>60572.390000000014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60</v>
          </cell>
          <cell r="G391">
            <v>60</v>
          </cell>
        </row>
        <row r="392">
          <cell r="B392">
            <v>321.54000000000002</v>
          </cell>
          <cell r="C392">
            <v>1739.26</v>
          </cell>
          <cell r="D392">
            <v>6215.44</v>
          </cell>
          <cell r="E392">
            <v>1705.02</v>
          </cell>
          <cell r="G392">
            <v>3444.2799999999997</v>
          </cell>
        </row>
        <row r="393">
          <cell r="B393">
            <v>0</v>
          </cell>
          <cell r="C393">
            <v>0</v>
          </cell>
          <cell r="D393">
            <v>2326.98</v>
          </cell>
          <cell r="E393">
            <v>1307.77</v>
          </cell>
          <cell r="G393">
            <v>1307.77</v>
          </cell>
        </row>
        <row r="394">
          <cell r="B394">
            <v>1218770.7</v>
          </cell>
          <cell r="C394">
            <v>876455.56999999983</v>
          </cell>
          <cell r="D394">
            <v>112582.62999999999</v>
          </cell>
          <cell r="E394">
            <v>759688.42</v>
          </cell>
          <cell r="G394">
            <v>1636143.9900000002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G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G396">
            <v>0</v>
          </cell>
        </row>
        <row r="397">
          <cell r="B397">
            <v>13931.320000000002</v>
          </cell>
          <cell r="C397">
            <v>118145.58</v>
          </cell>
          <cell r="D397">
            <v>208784.35</v>
          </cell>
          <cell r="E397">
            <v>617608.60000000009</v>
          </cell>
          <cell r="G397">
            <v>735754.18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G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G399">
            <v>0</v>
          </cell>
        </row>
        <row r="400">
          <cell r="B400">
            <v>29.56</v>
          </cell>
          <cell r="C400">
            <v>362.2</v>
          </cell>
          <cell r="D400">
            <v>494.61</v>
          </cell>
          <cell r="E400">
            <v>366.46</v>
          </cell>
          <cell r="G400">
            <v>728.66</v>
          </cell>
        </row>
        <row r="401">
          <cell r="B401">
            <v>619211.12609999999</v>
          </cell>
          <cell r="C401">
            <v>0</v>
          </cell>
          <cell r="D401">
            <v>341030.00000000006</v>
          </cell>
          <cell r="E401">
            <v>0</v>
          </cell>
          <cell r="G401">
            <v>1089272.6200000001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G402">
            <v>0</v>
          </cell>
        </row>
        <row r="403">
          <cell r="B403">
            <v>399.58</v>
          </cell>
          <cell r="C403">
            <v>973.54</v>
          </cell>
          <cell r="D403">
            <v>7954.22</v>
          </cell>
          <cell r="E403">
            <v>1103.27</v>
          </cell>
          <cell r="G403">
            <v>2785.2799999999997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G404">
            <v>0</v>
          </cell>
        </row>
        <row r="405">
          <cell r="B405">
            <v>19784.459999999995</v>
          </cell>
          <cell r="C405">
            <v>0</v>
          </cell>
          <cell r="D405">
            <v>746057.13000000012</v>
          </cell>
          <cell r="E405">
            <v>0</v>
          </cell>
          <cell r="G405">
            <v>1735232.9999999998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G406">
            <v>0</v>
          </cell>
        </row>
        <row r="407">
          <cell r="B407">
            <v>8296.65</v>
          </cell>
          <cell r="C407">
            <v>12480.05</v>
          </cell>
          <cell r="D407">
            <v>108644.44999999998</v>
          </cell>
          <cell r="E407">
            <v>118148.66</v>
          </cell>
          <cell r="G407">
            <v>130628.70999999999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O4">
            <v>458</v>
          </cell>
        </row>
        <row r="8">
          <cell r="O8">
            <v>19</v>
          </cell>
        </row>
        <row r="9">
          <cell r="O9">
            <v>72</v>
          </cell>
        </row>
        <row r="10">
          <cell r="O10">
            <v>28</v>
          </cell>
        </row>
        <row r="12">
          <cell r="O12">
            <v>70</v>
          </cell>
        </row>
        <row r="16">
          <cell r="O16">
            <v>4</v>
          </cell>
        </row>
        <row r="21">
          <cell r="O21">
            <v>16</v>
          </cell>
        </row>
        <row r="24">
          <cell r="O24">
            <v>1030</v>
          </cell>
        </row>
        <row r="29">
          <cell r="O29">
            <v>137</v>
          </cell>
        </row>
        <row r="32">
          <cell r="O32">
            <v>12</v>
          </cell>
        </row>
        <row r="33">
          <cell r="O33">
            <v>525</v>
          </cell>
        </row>
        <row r="35">
          <cell r="O35">
            <v>66</v>
          </cell>
        </row>
        <row r="36">
          <cell r="O36">
            <v>2</v>
          </cell>
        </row>
        <row r="37">
          <cell r="O37">
            <v>3487</v>
          </cell>
        </row>
        <row r="41">
          <cell r="O41">
            <v>441</v>
          </cell>
        </row>
        <row r="50">
          <cell r="O50">
            <v>785</v>
          </cell>
        </row>
        <row r="54">
          <cell r="O54">
            <v>96</v>
          </cell>
        </row>
        <row r="55">
          <cell r="O55">
            <v>75</v>
          </cell>
        </row>
        <row r="56">
          <cell r="O56">
            <v>176</v>
          </cell>
        </row>
        <row r="58">
          <cell r="O58">
            <v>649</v>
          </cell>
        </row>
        <row r="62">
          <cell r="O62">
            <v>8</v>
          </cell>
        </row>
        <row r="67">
          <cell r="O67">
            <v>190</v>
          </cell>
        </row>
        <row r="70">
          <cell r="O70">
            <v>9554</v>
          </cell>
        </row>
        <row r="75">
          <cell r="O75">
            <v>496</v>
          </cell>
        </row>
        <row r="78">
          <cell r="O78">
            <v>13</v>
          </cell>
        </row>
        <row r="81">
          <cell r="O81">
            <v>723</v>
          </cell>
        </row>
        <row r="82">
          <cell r="O82">
            <v>2</v>
          </cell>
        </row>
        <row r="83">
          <cell r="O83">
            <v>36895</v>
          </cell>
        </row>
        <row r="87">
          <cell r="O87">
            <v>3910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Comissão de Obto"/>
      <sheetName val="Obto unid.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9">
          <cell r="O79">
            <v>516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C8">
            <v>92493.75</v>
          </cell>
          <cell r="D8">
            <v>0</v>
          </cell>
          <cell r="E8">
            <v>13962.3</v>
          </cell>
          <cell r="F8">
            <v>0</v>
          </cell>
          <cell r="H8">
            <v>105811.24</v>
          </cell>
        </row>
        <row r="9">
          <cell r="C9">
            <v>40344.720000000001</v>
          </cell>
          <cell r="D9">
            <v>0</v>
          </cell>
          <cell r="E9">
            <v>13353.41</v>
          </cell>
          <cell r="F9">
            <v>0</v>
          </cell>
          <cell r="H9">
            <v>109195.4</v>
          </cell>
        </row>
        <row r="10">
          <cell r="C10">
            <v>100160.05</v>
          </cell>
          <cell r="D10">
            <v>0</v>
          </cell>
          <cell r="E10">
            <v>17364.16</v>
          </cell>
          <cell r="F10">
            <v>0</v>
          </cell>
          <cell r="H10">
            <v>97075.68</v>
          </cell>
        </row>
        <row r="11">
          <cell r="C11">
            <v>54225.919999999998</v>
          </cell>
          <cell r="D11">
            <v>0</v>
          </cell>
          <cell r="E11">
            <v>14594.45</v>
          </cell>
          <cell r="F11">
            <v>0</v>
          </cell>
          <cell r="H11">
            <v>123840.83</v>
          </cell>
        </row>
        <row r="12">
          <cell r="C12">
            <v>83740.77</v>
          </cell>
          <cell r="D12">
            <v>0</v>
          </cell>
          <cell r="E12">
            <v>18200.36</v>
          </cell>
          <cell r="F12">
            <v>0</v>
          </cell>
          <cell r="H12">
            <v>112890.67</v>
          </cell>
        </row>
        <row r="13">
          <cell r="C13">
            <v>124715.52</v>
          </cell>
          <cell r="D13">
            <v>0</v>
          </cell>
          <cell r="E13">
            <v>28608.47</v>
          </cell>
          <cell r="F13">
            <v>0</v>
          </cell>
          <cell r="H13">
            <v>122560.45</v>
          </cell>
        </row>
        <row r="14">
          <cell r="C14">
            <v>87441.63</v>
          </cell>
          <cell r="D14">
            <v>0</v>
          </cell>
          <cell r="E14">
            <v>17134.75</v>
          </cell>
          <cell r="F14">
            <v>0</v>
          </cell>
          <cell r="H14">
            <v>156160.26</v>
          </cell>
        </row>
        <row r="15">
          <cell r="C15">
            <v>213517.18</v>
          </cell>
          <cell r="D15">
            <v>0</v>
          </cell>
          <cell r="E15">
            <v>23872.54</v>
          </cell>
          <cell r="F15">
            <v>0</v>
          </cell>
          <cell r="H15">
            <v>156660.49</v>
          </cell>
        </row>
        <row r="16">
          <cell r="C16">
            <v>178204.03</v>
          </cell>
          <cell r="D16">
            <v>0</v>
          </cell>
          <cell r="E16">
            <v>16103.17</v>
          </cell>
          <cell r="F16">
            <v>0</v>
          </cell>
          <cell r="H16">
            <v>192072.12</v>
          </cell>
        </row>
        <row r="17">
          <cell r="C17">
            <v>247420.34</v>
          </cell>
          <cell r="D17">
            <v>0</v>
          </cell>
          <cell r="E17">
            <v>28547.65</v>
          </cell>
          <cell r="F17">
            <v>0</v>
          </cell>
          <cell r="H17">
            <v>207573.92</v>
          </cell>
        </row>
        <row r="18">
          <cell r="C18">
            <v>146490.18</v>
          </cell>
          <cell r="D18">
            <v>0</v>
          </cell>
          <cell r="E18">
            <v>20170.419999999998</v>
          </cell>
          <cell r="F18">
            <v>0</v>
          </cell>
          <cell r="H18">
            <v>285340.12</v>
          </cell>
        </row>
        <row r="19">
          <cell r="C19">
            <v>254071.65</v>
          </cell>
          <cell r="D19">
            <v>0</v>
          </cell>
          <cell r="E19">
            <v>18483.669999999998</v>
          </cell>
          <cell r="F19">
            <v>0</v>
          </cell>
          <cell r="H19">
            <v>296757.56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to"/>
      <sheetName val="altas e obitos"/>
      <sheetName val="Obto unid. conv."/>
      <sheetName val="Planilha Nova Centro Cirurgico"/>
      <sheetName val="TOTAL - Produção Cirurgico"/>
      <sheetName val="TOTAL - Horas x Convenios"/>
      <sheetName val="Produção Bloco"/>
      <sheetName val="Produção C. Cirurgi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Produção C. Cirurgico Hor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O8">
            <v>100</v>
          </cell>
        </row>
        <row r="53">
          <cell r="O53">
            <v>105</v>
          </cell>
        </row>
        <row r="82">
          <cell r="O82">
            <v>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ilha1"/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>
        <row r="8">
          <cell r="C8">
            <v>1007.09</v>
          </cell>
          <cell r="E8">
            <v>6988.41</v>
          </cell>
          <cell r="H8">
            <v>19520</v>
          </cell>
        </row>
        <row r="9">
          <cell r="C9">
            <v>812.03</v>
          </cell>
          <cell r="E9">
            <v>10520.99</v>
          </cell>
        </row>
        <row r="10">
          <cell r="C10">
            <v>861.54</v>
          </cell>
          <cell r="E10">
            <v>9481.08</v>
          </cell>
        </row>
        <row r="11">
          <cell r="C11">
            <v>998.78</v>
          </cell>
          <cell r="E11">
            <v>9555.44</v>
          </cell>
        </row>
        <row r="12">
          <cell r="C12">
            <v>1763.94</v>
          </cell>
          <cell r="E12">
            <v>18407.3</v>
          </cell>
        </row>
        <row r="13">
          <cell r="C13">
            <v>1571.7</v>
          </cell>
          <cell r="E13">
            <v>15849.85</v>
          </cell>
        </row>
        <row r="14">
          <cell r="C14">
            <v>1241.3</v>
          </cell>
          <cell r="E14">
            <v>9555.75</v>
          </cell>
        </row>
        <row r="15">
          <cell r="C15">
            <v>1977.43</v>
          </cell>
          <cell r="E15">
            <v>18561.61</v>
          </cell>
        </row>
        <row r="16">
          <cell r="C16">
            <v>3985</v>
          </cell>
          <cell r="E16">
            <v>35152.629999999997</v>
          </cell>
        </row>
        <row r="17">
          <cell r="C17">
            <v>5222.97</v>
          </cell>
          <cell r="E17">
            <v>44402.46</v>
          </cell>
        </row>
        <row r="18">
          <cell r="C18">
            <v>4544.26</v>
          </cell>
          <cell r="E18">
            <v>40311.89</v>
          </cell>
        </row>
        <row r="19">
          <cell r="C19">
            <v>3676.72</v>
          </cell>
          <cell r="E19">
            <v>26728.74</v>
          </cell>
        </row>
      </sheetData>
      <sheetData sheetId="3">
        <row r="8">
          <cell r="C8">
            <v>0</v>
          </cell>
          <cell r="G8">
            <v>1529.52</v>
          </cell>
        </row>
        <row r="9">
          <cell r="C9">
            <v>28.49</v>
          </cell>
          <cell r="G9">
            <v>1940.39</v>
          </cell>
          <cell r="H9">
            <v>2840</v>
          </cell>
        </row>
        <row r="10">
          <cell r="C10">
            <v>16.52</v>
          </cell>
          <cell r="G10">
            <v>1163.6600000000001</v>
          </cell>
          <cell r="H10">
            <v>1720</v>
          </cell>
        </row>
        <row r="11">
          <cell r="C11">
            <v>195.27</v>
          </cell>
          <cell r="G11">
            <v>2334.35</v>
          </cell>
          <cell r="H11">
            <v>3030</v>
          </cell>
        </row>
        <row r="12">
          <cell r="C12">
            <v>333.69</v>
          </cell>
          <cell r="G12">
            <v>3440.71</v>
          </cell>
          <cell r="H12">
            <v>4690</v>
          </cell>
        </row>
        <row r="13">
          <cell r="C13">
            <v>62.79</v>
          </cell>
          <cell r="G13">
            <v>636.36</v>
          </cell>
          <cell r="H13">
            <v>860</v>
          </cell>
        </row>
        <row r="14">
          <cell r="C14">
            <v>107.81</v>
          </cell>
          <cell r="G14">
            <v>2283.21</v>
          </cell>
          <cell r="H14">
            <v>1790</v>
          </cell>
        </row>
        <row r="15">
          <cell r="C15">
            <v>285.58</v>
          </cell>
          <cell r="G15">
            <v>3587.0699999999997</v>
          </cell>
          <cell r="H15">
            <v>3005</v>
          </cell>
        </row>
        <row r="16">
          <cell r="C16">
            <v>305.60000000000002</v>
          </cell>
          <cell r="G16">
            <v>2064.6999999999998</v>
          </cell>
          <cell r="H16">
            <v>3015</v>
          </cell>
        </row>
        <row r="17">
          <cell r="C17">
            <v>0</v>
          </cell>
          <cell r="G17">
            <v>0</v>
          </cell>
          <cell r="H17">
            <v>0</v>
          </cell>
        </row>
        <row r="18">
          <cell r="C18">
            <v>550.21</v>
          </cell>
          <cell r="G18">
            <v>3693.2200000000003</v>
          </cell>
          <cell r="H18">
            <v>4665</v>
          </cell>
        </row>
        <row r="19">
          <cell r="C19">
            <v>169.07</v>
          </cell>
          <cell r="G19">
            <v>1507.3999999999999</v>
          </cell>
          <cell r="H19">
            <v>2070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8">
          <cell r="C8">
            <v>0</v>
          </cell>
          <cell r="E8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ASSEFAZ"/>
      <sheetName val="CMI"/>
      <sheetName val="CABERGS"/>
      <sheetName val="CASEMBRAPA"/>
      <sheetName val="CASSI"/>
      <sheetName val="E.B.C.T"/>
      <sheetName val="EMBAIXADOR"/>
      <sheetName val="FUSEX"/>
      <sheetName val="GEAP"/>
      <sheetName val="IPE"/>
      <sheetName val="IPE SEM PIN PAD"/>
      <sheetName val="PARTICULAR"/>
      <sheetName val="Petrobras"/>
      <sheetName val="PREVPEL"/>
      <sheetName val="SAUDE BRADESCO"/>
      <sheetName val="SAUDE MAIOR"/>
      <sheetName val="SENERSAUDE"/>
      <sheetName val="SÓCIOS"/>
      <sheetName val="SULAMERICA"/>
      <sheetName val="SUS"/>
      <sheetName val="UNIMED"/>
    </sheetNames>
    <sheetDataSet>
      <sheetData sheetId="0" refreshError="1"/>
      <sheetData sheetId="1" refreshError="1"/>
      <sheetData sheetId="2" refreshError="1"/>
      <sheetData sheetId="3" refreshError="1">
        <row r="7">
          <cell r="C7">
            <v>191.2</v>
          </cell>
          <cell r="D7">
            <v>0</v>
          </cell>
        </row>
        <row r="8">
          <cell r="D8">
            <v>0</v>
          </cell>
        </row>
        <row r="9">
          <cell r="D9">
            <v>0</v>
          </cell>
        </row>
        <row r="10">
          <cell r="D10">
            <v>0</v>
          </cell>
        </row>
        <row r="11">
          <cell r="D11">
            <v>0</v>
          </cell>
        </row>
        <row r="12">
          <cell r="D12">
            <v>0</v>
          </cell>
        </row>
        <row r="13">
          <cell r="D13">
            <v>0</v>
          </cell>
        </row>
        <row r="14">
          <cell r="D14">
            <v>0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0</v>
          </cell>
        </row>
        <row r="18">
          <cell r="D18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7">
          <cell r="C7">
            <v>245.46</v>
          </cell>
          <cell r="D7">
            <v>0</v>
          </cell>
          <cell r="H7">
            <v>0</v>
          </cell>
        </row>
        <row r="8">
          <cell r="D8">
            <v>0</v>
          </cell>
          <cell r="H8">
            <v>0</v>
          </cell>
        </row>
        <row r="9">
          <cell r="D9">
            <v>0</v>
          </cell>
          <cell r="H9">
            <v>0</v>
          </cell>
        </row>
        <row r="10">
          <cell r="D10">
            <v>0</v>
          </cell>
          <cell r="H10">
            <v>0</v>
          </cell>
        </row>
        <row r="11">
          <cell r="D11">
            <v>0</v>
          </cell>
          <cell r="H11">
            <v>0</v>
          </cell>
        </row>
        <row r="12">
          <cell r="D12">
            <v>0</v>
          </cell>
          <cell r="H12">
            <v>0</v>
          </cell>
        </row>
        <row r="13">
          <cell r="D13">
            <v>0</v>
          </cell>
          <cell r="H13">
            <v>0</v>
          </cell>
        </row>
        <row r="14">
          <cell r="D14">
            <v>0</v>
          </cell>
          <cell r="H14">
            <v>0</v>
          </cell>
        </row>
        <row r="15">
          <cell r="D15">
            <v>0</v>
          </cell>
          <cell r="H15">
            <v>0</v>
          </cell>
        </row>
        <row r="16">
          <cell r="D16">
            <v>0</v>
          </cell>
          <cell r="H16">
            <v>0</v>
          </cell>
        </row>
        <row r="17">
          <cell r="D17">
            <v>0</v>
          </cell>
          <cell r="H17">
            <v>0</v>
          </cell>
        </row>
        <row r="18">
          <cell r="D18">
            <v>0</v>
          </cell>
          <cell r="H18">
            <v>0</v>
          </cell>
        </row>
      </sheetData>
      <sheetData sheetId="20" refreshError="1"/>
      <sheetData sheetId="21" refreshError="1"/>
      <sheetData sheetId="2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CMI"/>
      <sheetName val="CABERGS"/>
      <sheetName val="CASSI"/>
      <sheetName val="EMBAIXADOR"/>
      <sheetName val="GEAP"/>
      <sheetName val="IPE"/>
      <sheetName val="IPE SEM PIN PAD"/>
      <sheetName val="PARTICULAR"/>
      <sheetName val="CAIXA ECONOMICA FEDERADL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O5">
            <v>0</v>
          </cell>
        </row>
        <row r="33">
          <cell r="O33">
            <v>0</v>
          </cell>
        </row>
        <row r="50">
          <cell r="O50">
            <v>0</v>
          </cell>
        </row>
        <row r="78">
          <cell r="O78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O10">
            <v>0</v>
          </cell>
        </row>
        <row r="16">
          <cell r="O16">
            <v>0</v>
          </cell>
        </row>
        <row r="19">
          <cell r="O19">
            <v>0</v>
          </cell>
        </row>
        <row r="21">
          <cell r="O21">
            <v>0</v>
          </cell>
        </row>
        <row r="24">
          <cell r="O24">
            <v>0</v>
          </cell>
        </row>
        <row r="55">
          <cell r="O55">
            <v>0</v>
          </cell>
        </row>
        <row r="61">
          <cell r="O61">
            <v>0</v>
          </cell>
        </row>
        <row r="64">
          <cell r="O64">
            <v>0</v>
          </cell>
        </row>
        <row r="66">
          <cell r="O66">
            <v>0</v>
          </cell>
        </row>
        <row r="69">
          <cell r="O69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Controle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ilha1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9">
          <cell r="O29">
            <v>0</v>
          </cell>
        </row>
        <row r="74">
          <cell r="O74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P483"/>
  <sheetViews>
    <sheetView showGridLines="0" tabSelected="1" topLeftCell="A34" zoomScale="80" zoomScaleNormal="80" workbookViewId="0">
      <selection activeCell="K60" sqref="K60"/>
    </sheetView>
  </sheetViews>
  <sheetFormatPr defaultRowHeight="15" x14ac:dyDescent="0.25"/>
  <cols>
    <col min="1" max="1" width="60" style="2" customWidth="1"/>
    <col min="2" max="2" width="14.28515625" style="53" customWidth="1"/>
    <col min="3" max="3" width="12.42578125" style="53" customWidth="1"/>
    <col min="4" max="4" width="13.5703125" style="53" customWidth="1"/>
    <col min="5" max="5" width="16.5703125" style="53" customWidth="1"/>
    <col min="6" max="6" width="19.28515625" style="70" customWidth="1"/>
    <col min="7" max="7" width="19.42578125" style="70" customWidth="1"/>
    <col min="8" max="9" width="19.42578125" style="70" bestFit="1" customWidth="1"/>
    <col min="10" max="11" width="18" style="70" bestFit="1" customWidth="1"/>
    <col min="12" max="12" width="20" style="70" bestFit="1" customWidth="1"/>
    <col min="13" max="13" width="21.28515625" style="70" customWidth="1"/>
    <col min="14" max="14" width="22.7109375" style="79" customWidth="1"/>
    <col min="16" max="16" width="15" bestFit="1" customWidth="1"/>
  </cols>
  <sheetData>
    <row r="1" spans="1:14" ht="30" customHeight="1" x14ac:dyDescent="0.25">
      <c r="A1" s="177" t="s">
        <v>0</v>
      </c>
      <c r="B1" s="178"/>
      <c r="C1" s="178"/>
      <c r="D1" s="178"/>
      <c r="E1" s="178"/>
      <c r="F1" s="179"/>
      <c r="G1" s="179"/>
      <c r="H1" s="179"/>
      <c r="I1" s="179"/>
      <c r="J1" s="179"/>
      <c r="K1" s="179"/>
      <c r="L1" s="179"/>
      <c r="M1" s="179"/>
      <c r="N1" s="180"/>
    </row>
    <row r="2" spans="1:14" ht="30" customHeight="1" thickBot="1" x14ac:dyDescent="0.3">
      <c r="A2" s="181"/>
      <c r="B2" s="181"/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</row>
    <row r="3" spans="1:14" ht="30" customHeight="1" thickBot="1" x14ac:dyDescent="0.3">
      <c r="A3" s="172" t="s">
        <v>1</v>
      </c>
      <c r="B3" s="173"/>
      <c r="C3" s="173"/>
      <c r="D3" s="173"/>
      <c r="E3" s="173"/>
      <c r="F3" s="171"/>
      <c r="G3" s="175" t="str">
        <f>"INTERNAÇÕES - "&amp; '[1]intern. diaria convenio'!$C$42</f>
        <v>INTERNAÇÕES - 527</v>
      </c>
      <c r="H3" s="173"/>
      <c r="I3" s="176"/>
      <c r="J3" s="173"/>
      <c r="K3" s="175" t="str">
        <f>"DIÁRIAS - " &amp;'[1]intern. diaria convenio'!$C$88</f>
        <v>DIÁRIAS - 4497</v>
      </c>
      <c r="L3" s="173"/>
      <c r="M3" s="134"/>
      <c r="N3" s="135"/>
    </row>
    <row r="4" spans="1:14" ht="15" customHeight="1" thickBot="1" x14ac:dyDescent="0.3">
      <c r="A4" s="168" t="s">
        <v>2</v>
      </c>
      <c r="B4" s="174" t="s">
        <v>3</v>
      </c>
      <c r="C4" s="173"/>
      <c r="D4" s="173"/>
      <c r="E4" s="171"/>
      <c r="F4" s="170" t="s">
        <v>4</v>
      </c>
      <c r="G4" s="171"/>
      <c r="H4" s="170" t="s">
        <v>5</v>
      </c>
      <c r="I4" s="171"/>
      <c r="J4" s="170" t="s">
        <v>6</v>
      </c>
      <c r="K4" s="171"/>
      <c r="L4" s="117" t="s">
        <v>7</v>
      </c>
      <c r="M4" s="116" t="s">
        <v>8</v>
      </c>
      <c r="N4" s="118" t="s">
        <v>9</v>
      </c>
    </row>
    <row r="5" spans="1:14" ht="15.75" customHeight="1" thickBot="1" x14ac:dyDescent="0.3">
      <c r="A5" s="169"/>
      <c r="B5" s="122" t="s">
        <v>10</v>
      </c>
      <c r="C5" s="116" t="s">
        <v>11</v>
      </c>
      <c r="D5" s="122" t="s">
        <v>12</v>
      </c>
      <c r="E5" s="116" t="s">
        <v>13</v>
      </c>
      <c r="F5" s="109" t="s">
        <v>14</v>
      </c>
      <c r="G5" s="110" t="s">
        <v>15</v>
      </c>
      <c r="H5" s="109" t="s">
        <v>14</v>
      </c>
      <c r="I5" s="110" t="s">
        <v>15</v>
      </c>
      <c r="J5" s="109" t="s">
        <v>14</v>
      </c>
      <c r="K5" s="110" t="s">
        <v>15</v>
      </c>
      <c r="L5" s="116" t="s">
        <v>14</v>
      </c>
      <c r="M5" s="119" t="s">
        <v>15</v>
      </c>
      <c r="N5" s="120" t="s">
        <v>16</v>
      </c>
    </row>
    <row r="6" spans="1:14" ht="15.75" customHeight="1" x14ac:dyDescent="0.25">
      <c r="A6" s="123" t="s">
        <v>17</v>
      </c>
      <c r="B6" s="154"/>
      <c r="C6" s="155"/>
      <c r="D6" s="155"/>
      <c r="E6" s="156"/>
      <c r="F6" s="71">
        <v>11696.8</v>
      </c>
      <c r="G6" s="67"/>
      <c r="H6" s="67">
        <v>13973.75</v>
      </c>
      <c r="I6" s="67"/>
      <c r="J6" s="67">
        <v>48166.66</v>
      </c>
      <c r="K6" s="111"/>
      <c r="L6" s="143">
        <f t="shared" ref="L6:L31" si="0">F6+H6+J6</f>
        <v>73837.210000000006</v>
      </c>
      <c r="M6" s="142">
        <v>72162.5</v>
      </c>
      <c r="N6" s="78">
        <f t="shared" ref="N6:N31" si="1">M6-L6</f>
        <v>-1674.7100000000064</v>
      </c>
    </row>
    <row r="7" spans="1:14" ht="15.75" customHeight="1" x14ac:dyDescent="0.25">
      <c r="A7" s="124" t="s">
        <v>18</v>
      </c>
      <c r="B7" s="157"/>
      <c r="C7" s="141"/>
      <c r="D7" s="141"/>
      <c r="E7" s="150"/>
      <c r="F7" s="71">
        <v>15775.74</v>
      </c>
      <c r="G7" s="67"/>
      <c r="H7" s="67">
        <v>13590</v>
      </c>
      <c r="I7" s="67"/>
      <c r="J7" s="67">
        <v>16128.63</v>
      </c>
      <c r="K7" s="111"/>
      <c r="L7" s="68">
        <f t="shared" si="0"/>
        <v>45494.369999999995</v>
      </c>
      <c r="M7" s="72">
        <v>179798.76</v>
      </c>
      <c r="N7" s="78">
        <f t="shared" si="1"/>
        <v>134304.39000000001</v>
      </c>
    </row>
    <row r="8" spans="1:14" ht="15.75" customHeight="1" x14ac:dyDescent="0.25">
      <c r="A8" s="124" t="s">
        <v>19</v>
      </c>
      <c r="B8" s="157"/>
      <c r="C8" s="141"/>
      <c r="D8" s="141"/>
      <c r="E8" s="150"/>
      <c r="F8" s="71"/>
      <c r="G8" s="67"/>
      <c r="H8" s="67"/>
      <c r="I8" s="67"/>
      <c r="J8" s="67"/>
      <c r="K8" s="111"/>
      <c r="L8" s="68">
        <f t="shared" si="0"/>
        <v>0</v>
      </c>
      <c r="M8" s="72">
        <f>G8+I8+K8</f>
        <v>0</v>
      </c>
      <c r="N8" s="78">
        <f t="shared" si="1"/>
        <v>0</v>
      </c>
    </row>
    <row r="9" spans="1:14" ht="15.75" customHeight="1" x14ac:dyDescent="0.25">
      <c r="A9" s="124" t="s">
        <v>20</v>
      </c>
      <c r="B9" s="157"/>
      <c r="C9" s="141"/>
      <c r="D9" s="141"/>
      <c r="E9" s="150"/>
      <c r="F9" s="71">
        <v>2591.63</v>
      </c>
      <c r="G9" s="67">
        <v>16234.24</v>
      </c>
      <c r="H9" s="67">
        <v>5030.55</v>
      </c>
      <c r="I9" s="67">
        <v>7830</v>
      </c>
      <c r="J9" s="67">
        <v>13694.47</v>
      </c>
      <c r="K9" s="111">
        <v>25615.68</v>
      </c>
      <c r="L9" s="68">
        <f t="shared" si="0"/>
        <v>21316.65</v>
      </c>
      <c r="M9" s="72">
        <v>33545</v>
      </c>
      <c r="N9" s="78">
        <f t="shared" si="1"/>
        <v>12228.349999999999</v>
      </c>
    </row>
    <row r="10" spans="1:14" ht="15.75" customHeight="1" x14ac:dyDescent="0.25">
      <c r="A10" s="124" t="s">
        <v>21</v>
      </c>
      <c r="B10" s="157"/>
      <c r="C10" s="141"/>
      <c r="D10" s="141"/>
      <c r="E10" s="150"/>
      <c r="F10" s="71">
        <v>228.03</v>
      </c>
      <c r="G10" s="67">
        <v>3278.68</v>
      </c>
      <c r="H10" s="67">
        <v>3912.65</v>
      </c>
      <c r="I10" s="67">
        <v>2190.13</v>
      </c>
      <c r="J10" s="67">
        <v>887.92</v>
      </c>
      <c r="K10" s="111">
        <v>1165.1300000000001</v>
      </c>
      <c r="L10" s="68">
        <f t="shared" si="0"/>
        <v>5028.6000000000004</v>
      </c>
      <c r="M10" s="72">
        <f t="shared" ref="M10:M24" si="2">SUM(G10,I10,K10)</f>
        <v>6633.94</v>
      </c>
      <c r="N10" s="78">
        <f t="shared" si="1"/>
        <v>1605.3399999999992</v>
      </c>
    </row>
    <row r="11" spans="1:14" ht="15.75" customHeight="1" x14ac:dyDescent="0.25">
      <c r="A11" s="124" t="s">
        <v>22</v>
      </c>
      <c r="B11" s="157"/>
      <c r="C11" s="141"/>
      <c r="D11" s="141"/>
      <c r="E11" s="150"/>
      <c r="F11" s="71">
        <v>23.74</v>
      </c>
      <c r="G11" s="67">
        <v>331.11</v>
      </c>
      <c r="H11" s="67">
        <v>573.45000000000005</v>
      </c>
      <c r="I11" s="67">
        <v>373.45</v>
      </c>
      <c r="J11" s="67">
        <v>0</v>
      </c>
      <c r="K11" s="111">
        <v>0</v>
      </c>
      <c r="L11" s="68">
        <f t="shared" si="0"/>
        <v>597.19000000000005</v>
      </c>
      <c r="M11" s="72">
        <f t="shared" si="2"/>
        <v>704.56</v>
      </c>
      <c r="N11" s="78">
        <f t="shared" si="1"/>
        <v>107.36999999999989</v>
      </c>
    </row>
    <row r="12" spans="1:14" ht="15.75" customHeight="1" x14ac:dyDescent="0.25">
      <c r="A12" s="125" t="s">
        <v>23</v>
      </c>
      <c r="B12" s="157"/>
      <c r="C12" s="141"/>
      <c r="D12" s="141"/>
      <c r="E12" s="150"/>
      <c r="F12" s="71"/>
      <c r="G12" s="67"/>
      <c r="H12" s="67"/>
      <c r="I12" s="67"/>
      <c r="J12" s="67"/>
      <c r="K12" s="111"/>
      <c r="L12" s="68">
        <f t="shared" si="0"/>
        <v>0</v>
      </c>
      <c r="M12" s="72">
        <f t="shared" si="2"/>
        <v>0</v>
      </c>
      <c r="N12" s="78">
        <f t="shared" si="1"/>
        <v>0</v>
      </c>
    </row>
    <row r="13" spans="1:14" ht="15.75" customHeight="1" x14ac:dyDescent="0.25">
      <c r="A13" s="124" t="s">
        <v>24</v>
      </c>
      <c r="B13" s="157"/>
      <c r="C13" s="141"/>
      <c r="D13" s="141"/>
      <c r="E13" s="150"/>
      <c r="F13" s="71">
        <v>28398.98</v>
      </c>
      <c r="G13" s="67">
        <v>178239.55</v>
      </c>
      <c r="H13" s="67">
        <v>104095.7</v>
      </c>
      <c r="I13" s="67">
        <v>45377.24</v>
      </c>
      <c r="J13" s="67">
        <v>77955.839999999997</v>
      </c>
      <c r="K13" s="111">
        <v>24775.21</v>
      </c>
      <c r="L13" s="68">
        <f t="shared" si="0"/>
        <v>210450.52</v>
      </c>
      <c r="M13" s="72">
        <f t="shared" si="2"/>
        <v>248391.99999999997</v>
      </c>
      <c r="N13" s="78">
        <f t="shared" si="1"/>
        <v>37941.479999999981</v>
      </c>
    </row>
    <row r="14" spans="1:14" ht="15.75" customHeight="1" x14ac:dyDescent="0.25">
      <c r="A14" s="124" t="s">
        <v>25</v>
      </c>
      <c r="B14" s="157"/>
      <c r="C14" s="141"/>
      <c r="D14" s="141"/>
      <c r="E14" s="150"/>
      <c r="F14" s="71"/>
      <c r="G14" s="67"/>
      <c r="H14" s="67"/>
      <c r="I14" s="67"/>
      <c r="J14" s="67"/>
      <c r="K14" s="111"/>
      <c r="L14" s="68">
        <f t="shared" si="0"/>
        <v>0</v>
      </c>
      <c r="M14" s="72">
        <f t="shared" si="2"/>
        <v>0</v>
      </c>
      <c r="N14" s="78">
        <f t="shared" si="1"/>
        <v>0</v>
      </c>
    </row>
    <row r="15" spans="1:14" ht="15.75" customHeight="1" x14ac:dyDescent="0.25">
      <c r="A15" s="124" t="s">
        <v>26</v>
      </c>
      <c r="B15" s="157"/>
      <c r="C15" s="141"/>
      <c r="D15" s="141"/>
      <c r="E15" s="150"/>
      <c r="G15" s="67"/>
      <c r="H15" s="67"/>
      <c r="I15" s="67"/>
      <c r="J15" s="71"/>
      <c r="K15" s="111"/>
      <c r="L15" s="68">
        <f t="shared" si="0"/>
        <v>0</v>
      </c>
      <c r="M15" s="72">
        <f t="shared" si="2"/>
        <v>0</v>
      </c>
      <c r="N15" s="78">
        <f t="shared" si="1"/>
        <v>0</v>
      </c>
    </row>
    <row r="16" spans="1:14" ht="15.75" customHeight="1" x14ac:dyDescent="0.25">
      <c r="A16" s="124" t="s">
        <v>27</v>
      </c>
      <c r="B16" s="157"/>
      <c r="C16" s="141"/>
      <c r="D16" s="141"/>
      <c r="E16" s="150"/>
      <c r="F16" s="71">
        <v>8805.24</v>
      </c>
      <c r="G16" s="67">
        <v>36537.54</v>
      </c>
      <c r="H16" s="67">
        <v>13104.25</v>
      </c>
      <c r="I16" s="67">
        <v>7874.28</v>
      </c>
      <c r="J16" s="67">
        <v>887.92</v>
      </c>
      <c r="K16" s="111">
        <v>1181.32</v>
      </c>
      <c r="L16" s="68">
        <f t="shared" si="0"/>
        <v>22797.409999999996</v>
      </c>
      <c r="M16" s="72">
        <f t="shared" si="2"/>
        <v>45593.14</v>
      </c>
      <c r="N16" s="78">
        <f t="shared" si="1"/>
        <v>22795.730000000003</v>
      </c>
    </row>
    <row r="17" spans="1:14" ht="15.75" customHeight="1" x14ac:dyDescent="0.25">
      <c r="A17" s="124" t="s">
        <v>28</v>
      </c>
      <c r="B17" s="157"/>
      <c r="C17" s="141"/>
      <c r="D17" s="141"/>
      <c r="E17" s="150"/>
      <c r="F17" s="71">
        <v>5000</v>
      </c>
      <c r="G17" s="67">
        <v>3695</v>
      </c>
      <c r="H17" s="67">
        <v>0</v>
      </c>
      <c r="I17" s="67">
        <v>0</v>
      </c>
      <c r="J17" s="67">
        <v>0</v>
      </c>
      <c r="K17" s="111">
        <v>0</v>
      </c>
      <c r="L17" s="68">
        <f t="shared" si="0"/>
        <v>5000</v>
      </c>
      <c r="M17" s="72">
        <f t="shared" si="2"/>
        <v>3695</v>
      </c>
      <c r="N17" s="78">
        <f t="shared" si="1"/>
        <v>-1305</v>
      </c>
    </row>
    <row r="18" spans="1:14" ht="15.75" customHeight="1" x14ac:dyDescent="0.25">
      <c r="A18" s="124" t="s">
        <v>29</v>
      </c>
      <c r="B18" s="157"/>
      <c r="C18" s="141"/>
      <c r="D18" s="141"/>
      <c r="E18" s="150"/>
      <c r="F18" s="71">
        <v>563440.48</v>
      </c>
      <c r="G18" s="67">
        <v>99896.3</v>
      </c>
      <c r="H18" s="67">
        <v>467905.76</v>
      </c>
      <c r="I18" s="67">
        <v>647539.13</v>
      </c>
      <c r="J18" s="67">
        <v>49155.33</v>
      </c>
      <c r="K18" s="111">
        <v>37808.160000000003</v>
      </c>
      <c r="L18" s="68">
        <f t="shared" si="0"/>
        <v>1080501.57</v>
      </c>
      <c r="M18" s="72">
        <f t="shared" si="2"/>
        <v>785243.59000000008</v>
      </c>
      <c r="N18" s="78">
        <f t="shared" si="1"/>
        <v>-295257.98</v>
      </c>
    </row>
    <row r="19" spans="1:14" ht="15.75" customHeight="1" x14ac:dyDescent="0.25">
      <c r="A19" s="124" t="s">
        <v>30</v>
      </c>
      <c r="B19" s="157"/>
      <c r="C19" s="141"/>
      <c r="D19" s="141"/>
      <c r="E19" s="150"/>
      <c r="F19" s="71"/>
      <c r="G19" s="67"/>
      <c r="H19" s="67"/>
      <c r="I19" s="67"/>
      <c r="J19" s="67"/>
      <c r="K19" s="111"/>
      <c r="L19" s="68">
        <f t="shared" si="0"/>
        <v>0</v>
      </c>
      <c r="M19" s="72">
        <f t="shared" si="2"/>
        <v>0</v>
      </c>
      <c r="N19" s="78">
        <f t="shared" si="1"/>
        <v>0</v>
      </c>
    </row>
    <row r="20" spans="1:14" ht="15.75" customHeight="1" x14ac:dyDescent="0.25">
      <c r="A20" s="124" t="s">
        <v>31</v>
      </c>
      <c r="B20" s="157"/>
      <c r="C20" s="141"/>
      <c r="D20" s="141"/>
      <c r="E20" s="150"/>
      <c r="F20" s="71"/>
      <c r="G20" s="71"/>
      <c r="H20" s="71"/>
      <c r="I20" s="71"/>
      <c r="J20" s="71"/>
      <c r="K20" s="112"/>
      <c r="L20" s="68">
        <f t="shared" si="0"/>
        <v>0</v>
      </c>
      <c r="M20" s="72">
        <f t="shared" si="2"/>
        <v>0</v>
      </c>
      <c r="N20" s="78">
        <f t="shared" si="1"/>
        <v>0</v>
      </c>
    </row>
    <row r="21" spans="1:14" ht="15.75" customHeight="1" x14ac:dyDescent="0.25">
      <c r="A21" s="124" t="s">
        <v>32</v>
      </c>
      <c r="B21" s="157"/>
      <c r="C21" s="141"/>
      <c r="D21" s="141"/>
      <c r="E21" s="150"/>
      <c r="F21" s="71">
        <v>22149.98</v>
      </c>
      <c r="G21" s="67">
        <v>49385.02</v>
      </c>
      <c r="H21" s="67">
        <v>31881.200000000001</v>
      </c>
      <c r="I21" s="67">
        <v>23571</v>
      </c>
      <c r="J21" s="67">
        <v>34291.550000000003</v>
      </c>
      <c r="K21" s="111">
        <v>32294.95</v>
      </c>
      <c r="L21" s="68">
        <f t="shared" si="0"/>
        <v>88322.73000000001</v>
      </c>
      <c r="M21" s="72">
        <f t="shared" si="2"/>
        <v>105250.96999999999</v>
      </c>
      <c r="N21" s="78">
        <f t="shared" si="1"/>
        <v>16928.239999999976</v>
      </c>
    </row>
    <row r="22" spans="1:14" ht="15.75" customHeight="1" x14ac:dyDescent="0.25">
      <c r="A22" s="125" t="s">
        <v>33</v>
      </c>
      <c r="B22" s="157"/>
      <c r="C22" s="141"/>
      <c r="D22" s="141"/>
      <c r="E22" s="150"/>
      <c r="F22" s="71"/>
      <c r="G22" s="67"/>
      <c r="H22" s="67"/>
      <c r="I22" s="67"/>
      <c r="J22" s="67"/>
      <c r="K22" s="111"/>
      <c r="L22" s="68">
        <f t="shared" si="0"/>
        <v>0</v>
      </c>
      <c r="M22" s="72">
        <f t="shared" si="2"/>
        <v>0</v>
      </c>
      <c r="N22" s="78">
        <f t="shared" si="1"/>
        <v>0</v>
      </c>
    </row>
    <row r="23" spans="1:14" ht="15.75" customHeight="1" x14ac:dyDescent="0.25">
      <c r="A23" s="124" t="s">
        <v>34</v>
      </c>
      <c r="B23" s="157"/>
      <c r="C23" s="141"/>
      <c r="D23" s="141"/>
      <c r="E23" s="150"/>
      <c r="F23" s="71"/>
      <c r="G23" s="67"/>
      <c r="H23" s="67"/>
      <c r="I23" s="67"/>
      <c r="J23" s="67"/>
      <c r="K23" s="111"/>
      <c r="L23" s="68">
        <f t="shared" si="0"/>
        <v>0</v>
      </c>
      <c r="M23" s="72">
        <f t="shared" si="2"/>
        <v>0</v>
      </c>
      <c r="N23" s="78">
        <f t="shared" si="1"/>
        <v>0</v>
      </c>
    </row>
    <row r="24" spans="1:14" ht="15.75" customHeight="1" x14ac:dyDescent="0.25">
      <c r="A24" s="124" t="s">
        <v>35</v>
      </c>
      <c r="B24" s="157"/>
      <c r="C24" s="141"/>
      <c r="D24" s="141"/>
      <c r="E24" s="150"/>
      <c r="F24" s="71">
        <v>44.83</v>
      </c>
      <c r="G24" s="67">
        <v>439.88</v>
      </c>
      <c r="H24" s="67">
        <v>0</v>
      </c>
      <c r="I24" s="67">
        <v>0</v>
      </c>
      <c r="J24" s="67">
        <v>494.61</v>
      </c>
      <c r="K24" s="111">
        <v>375.49</v>
      </c>
      <c r="L24" s="68">
        <f t="shared" si="0"/>
        <v>539.44000000000005</v>
      </c>
      <c r="M24" s="72">
        <f t="shared" si="2"/>
        <v>815.37</v>
      </c>
      <c r="N24" s="78">
        <f t="shared" si="1"/>
        <v>275.92999999999995</v>
      </c>
    </row>
    <row r="25" spans="1:14" ht="15.75" customHeight="1" x14ac:dyDescent="0.25">
      <c r="A25" s="124" t="s">
        <v>36</v>
      </c>
      <c r="B25" s="157"/>
      <c r="C25" s="141"/>
      <c r="D25" s="141"/>
      <c r="E25" s="150"/>
      <c r="F25" s="71">
        <v>55196.29</v>
      </c>
      <c r="G25" s="67"/>
      <c r="H25" s="67">
        <v>170855.6</v>
      </c>
      <c r="I25" s="67"/>
      <c r="J25" s="67">
        <v>86197.28</v>
      </c>
      <c r="K25" s="111"/>
      <c r="L25" s="68">
        <f t="shared" si="0"/>
        <v>312249.17000000004</v>
      </c>
      <c r="M25" s="72">
        <v>400000</v>
      </c>
      <c r="N25" s="78">
        <f t="shared" si="1"/>
        <v>87750.829999999958</v>
      </c>
    </row>
    <row r="26" spans="1:14" ht="15.75" customHeight="1" x14ac:dyDescent="0.25">
      <c r="A26" s="125" t="s">
        <v>37</v>
      </c>
      <c r="B26" s="157"/>
      <c r="C26" s="141"/>
      <c r="D26" s="141"/>
      <c r="E26" s="150"/>
      <c r="F26" s="108"/>
      <c r="G26" s="67"/>
      <c r="H26" s="67"/>
      <c r="I26" s="67"/>
      <c r="J26" s="67"/>
      <c r="K26" s="111"/>
      <c r="L26" s="68">
        <f t="shared" si="0"/>
        <v>0</v>
      </c>
      <c r="M26" s="145">
        <f>G26+I26+K26</f>
        <v>0</v>
      </c>
      <c r="N26" s="78">
        <f t="shared" si="1"/>
        <v>0</v>
      </c>
    </row>
    <row r="27" spans="1:14" ht="15.75" customHeight="1" x14ac:dyDescent="0.25">
      <c r="A27" s="124" t="s">
        <v>38</v>
      </c>
      <c r="B27" s="157"/>
      <c r="C27" s="141"/>
      <c r="D27" s="141"/>
      <c r="E27" s="150"/>
      <c r="F27" s="71">
        <v>4419.3500000000004</v>
      </c>
      <c r="G27" s="67">
        <v>40504.21</v>
      </c>
      <c r="H27" s="71">
        <v>7280.85</v>
      </c>
      <c r="I27" s="67">
        <v>2262.4</v>
      </c>
      <c r="J27" s="67">
        <v>24802.51</v>
      </c>
      <c r="K27" s="111">
        <v>5946.05</v>
      </c>
      <c r="L27" s="68">
        <f t="shared" si="0"/>
        <v>36502.71</v>
      </c>
      <c r="M27" s="72">
        <v>4460.7</v>
      </c>
      <c r="N27" s="78">
        <f t="shared" si="1"/>
        <v>-32042.01</v>
      </c>
    </row>
    <row r="28" spans="1:14" ht="15.75" customHeight="1" x14ac:dyDescent="0.25">
      <c r="A28" s="124" t="s">
        <v>39</v>
      </c>
      <c r="B28" s="157"/>
      <c r="C28" s="141"/>
      <c r="D28" s="141"/>
      <c r="E28" s="150"/>
      <c r="F28" s="71"/>
      <c r="G28" s="67"/>
      <c r="H28" s="67"/>
      <c r="I28" s="67"/>
      <c r="J28" s="67"/>
      <c r="K28" s="111"/>
      <c r="L28" s="68">
        <f t="shared" si="0"/>
        <v>0</v>
      </c>
      <c r="M28" s="72">
        <f>G28+I28+K28</f>
        <v>0</v>
      </c>
      <c r="N28" s="78">
        <f t="shared" si="1"/>
        <v>0</v>
      </c>
    </row>
    <row r="29" spans="1:14" ht="15.75" customHeight="1" x14ac:dyDescent="0.25">
      <c r="A29" s="124" t="s">
        <v>40</v>
      </c>
      <c r="B29" s="157"/>
      <c r="C29" s="141"/>
      <c r="D29" s="141"/>
      <c r="E29" s="150"/>
      <c r="F29" s="71"/>
      <c r="G29" s="67"/>
      <c r="H29" s="67">
        <v>2209882.9500000002</v>
      </c>
      <c r="I29" s="67"/>
      <c r="J29" s="67"/>
      <c r="K29" s="111"/>
      <c r="L29" s="68">
        <f t="shared" si="0"/>
        <v>2209882.9500000002</v>
      </c>
      <c r="M29" s="72">
        <v>2327154.34</v>
      </c>
      <c r="N29" s="78">
        <f t="shared" si="1"/>
        <v>117271.38999999966</v>
      </c>
    </row>
    <row r="30" spans="1:14" ht="15.75" customHeight="1" x14ac:dyDescent="0.25">
      <c r="A30" s="124" t="s">
        <v>41</v>
      </c>
      <c r="B30" s="157"/>
      <c r="C30" s="141"/>
      <c r="D30" s="141"/>
      <c r="E30" s="150"/>
      <c r="F30" s="71"/>
      <c r="G30" s="67"/>
      <c r="I30" s="67"/>
      <c r="J30" s="67"/>
      <c r="K30" s="111"/>
      <c r="L30" s="68">
        <f t="shared" si="0"/>
        <v>0</v>
      </c>
      <c r="M30" s="145">
        <f>G30+I30+K30</f>
        <v>0</v>
      </c>
      <c r="N30" s="78">
        <f t="shared" si="1"/>
        <v>0</v>
      </c>
    </row>
    <row r="31" spans="1:14" ht="16.5" customHeight="1" thickBot="1" x14ac:dyDescent="0.3">
      <c r="A31" s="126" t="s">
        <v>42</v>
      </c>
      <c r="B31" s="158"/>
      <c r="C31" s="159"/>
      <c r="D31" s="159"/>
      <c r="E31" s="160"/>
      <c r="F31" s="71">
        <v>1595094.59</v>
      </c>
      <c r="G31" s="67">
        <v>79677.13</v>
      </c>
      <c r="H31" s="69">
        <v>222021.68</v>
      </c>
      <c r="I31" s="69">
        <v>234487.14</v>
      </c>
      <c r="J31" s="69">
        <v>24216.36</v>
      </c>
      <c r="K31" s="113">
        <v>48612.72</v>
      </c>
      <c r="L31" s="74">
        <f t="shared" si="0"/>
        <v>1841332.6300000001</v>
      </c>
      <c r="M31" s="73">
        <f>SUM(G31,I31,K31)</f>
        <v>362776.99</v>
      </c>
      <c r="N31" s="80">
        <f t="shared" si="1"/>
        <v>-1478555.6400000001</v>
      </c>
    </row>
    <row r="32" spans="1:14" ht="30" customHeight="1" thickBot="1" x14ac:dyDescent="0.3">
      <c r="A32" s="121" t="s">
        <v>9</v>
      </c>
      <c r="B32" s="127">
        <f t="shared" ref="B32:N32" si="3">SUM(B6:B31)</f>
        <v>0</v>
      </c>
      <c r="C32" s="127">
        <f t="shared" si="3"/>
        <v>0</v>
      </c>
      <c r="D32" s="127">
        <f t="shared" si="3"/>
        <v>0</v>
      </c>
      <c r="E32" s="127">
        <f t="shared" si="3"/>
        <v>0</v>
      </c>
      <c r="F32" s="85">
        <f t="shared" si="3"/>
        <v>2312865.6800000002</v>
      </c>
      <c r="G32" s="85">
        <f t="shared" si="3"/>
        <v>508218.66000000003</v>
      </c>
      <c r="H32" s="85">
        <f t="shared" si="3"/>
        <v>3264108.39</v>
      </c>
      <c r="I32" s="85">
        <f t="shared" si="3"/>
        <v>971504.77</v>
      </c>
      <c r="J32" s="85">
        <f t="shared" si="3"/>
        <v>376879.07999999996</v>
      </c>
      <c r="K32" s="85">
        <f t="shared" si="3"/>
        <v>177774.71000000002</v>
      </c>
      <c r="L32" s="128">
        <f t="shared" si="3"/>
        <v>5953853.1500000004</v>
      </c>
      <c r="M32" s="114">
        <f t="shared" si="3"/>
        <v>4576226.8600000003</v>
      </c>
      <c r="N32" s="129">
        <f t="shared" si="3"/>
        <v>-1377626.2900000005</v>
      </c>
    </row>
    <row r="33" spans="1:16" ht="15.75" customHeight="1" thickBot="1" x14ac:dyDescent="0.3"/>
    <row r="34" spans="1:16" ht="30" customHeight="1" thickBot="1" x14ac:dyDescent="0.3">
      <c r="A34" s="172" t="s">
        <v>43</v>
      </c>
      <c r="B34" s="173"/>
      <c r="C34" s="173"/>
      <c r="D34" s="173"/>
      <c r="E34" s="173"/>
      <c r="F34" s="171"/>
      <c r="G34" s="175" t="str">
        <f>"INTERNAÇÕES - "&amp; '[1]intern. diaria convenio'!$D$42</f>
        <v>INTERNAÇÕES - 502</v>
      </c>
      <c r="H34" s="173"/>
      <c r="I34" s="182"/>
      <c r="J34" s="173"/>
      <c r="K34" s="144" t="str">
        <f>"DIÁRIAS - " &amp;'[1]intern. diaria convenio'!$D$88</f>
        <v>DIÁRIAS - 4030</v>
      </c>
      <c r="L34" s="161"/>
      <c r="M34" s="134"/>
      <c r="N34" s="135"/>
    </row>
    <row r="35" spans="1:16" ht="15" customHeight="1" thickBot="1" x14ac:dyDescent="0.3">
      <c r="A35" s="168" t="s">
        <v>2</v>
      </c>
      <c r="B35" s="174" t="s">
        <v>3</v>
      </c>
      <c r="C35" s="173"/>
      <c r="D35" s="173"/>
      <c r="E35" s="171"/>
      <c r="F35" s="170" t="s">
        <v>4</v>
      </c>
      <c r="G35" s="171"/>
      <c r="H35" s="170" t="s">
        <v>5</v>
      </c>
      <c r="I35" s="171"/>
      <c r="J35" s="170" t="s">
        <v>6</v>
      </c>
      <c r="K35" s="171"/>
      <c r="L35" s="117" t="s">
        <v>7</v>
      </c>
      <c r="M35" s="116" t="s">
        <v>8</v>
      </c>
      <c r="N35" s="118" t="s">
        <v>9</v>
      </c>
    </row>
    <row r="36" spans="1:16" ht="21.75" customHeight="1" thickBot="1" x14ac:dyDescent="0.3">
      <c r="A36" s="169"/>
      <c r="B36" s="122" t="s">
        <v>10</v>
      </c>
      <c r="C36" s="116" t="s">
        <v>11</v>
      </c>
      <c r="D36" s="122" t="s">
        <v>12</v>
      </c>
      <c r="E36" s="116" t="s">
        <v>13</v>
      </c>
      <c r="F36" s="109" t="s">
        <v>14</v>
      </c>
      <c r="G36" s="110" t="s">
        <v>15</v>
      </c>
      <c r="H36" s="109" t="s">
        <v>14</v>
      </c>
      <c r="I36" s="110" t="s">
        <v>15</v>
      </c>
      <c r="J36" s="109" t="s">
        <v>14</v>
      </c>
      <c r="K36" s="110" t="s">
        <v>15</v>
      </c>
      <c r="L36" s="116" t="s">
        <v>14</v>
      </c>
      <c r="M36" s="119" t="s">
        <v>15</v>
      </c>
      <c r="N36" s="120" t="s">
        <v>16</v>
      </c>
    </row>
    <row r="37" spans="1:16" ht="15.75" customHeight="1" x14ac:dyDescent="0.25">
      <c r="A37" s="123" t="s">
        <v>17</v>
      </c>
      <c r="B37" s="154"/>
      <c r="C37" s="155"/>
      <c r="D37" s="155"/>
      <c r="E37" s="156"/>
      <c r="F37" s="71">
        <v>19777.439999999999</v>
      </c>
      <c r="G37" s="67"/>
      <c r="H37" s="67">
        <v>32394.31</v>
      </c>
      <c r="I37" s="67"/>
      <c r="J37" s="67">
        <v>82180.800000000003</v>
      </c>
      <c r="K37" s="111"/>
      <c r="L37" s="143">
        <f t="shared" ref="L37:L62" si="4">F37+H37+J37</f>
        <v>134352.54999999999</v>
      </c>
      <c r="M37" s="142">
        <v>172252.5</v>
      </c>
      <c r="N37" s="78">
        <f t="shared" ref="N37:N62" si="5">M37-L37</f>
        <v>37899.950000000012</v>
      </c>
    </row>
    <row r="38" spans="1:16" ht="15.75" customHeight="1" x14ac:dyDescent="0.25">
      <c r="A38" s="124" t="s">
        <v>18</v>
      </c>
      <c r="B38" s="157"/>
      <c r="C38" s="141"/>
      <c r="D38" s="141"/>
      <c r="E38" s="150"/>
      <c r="F38" s="71"/>
      <c r="G38" s="67"/>
      <c r="H38" s="67"/>
      <c r="I38" s="67"/>
      <c r="J38" s="67"/>
      <c r="K38" s="111"/>
      <c r="L38" s="68">
        <f t="shared" si="4"/>
        <v>0</v>
      </c>
      <c r="M38" s="72">
        <v>4102.5</v>
      </c>
      <c r="N38" s="78">
        <f t="shared" si="5"/>
        <v>4102.5</v>
      </c>
    </row>
    <row r="39" spans="1:16" ht="15.75" customHeight="1" x14ac:dyDescent="0.25">
      <c r="A39" s="124" t="s">
        <v>19</v>
      </c>
      <c r="B39" s="157"/>
      <c r="C39" s="141"/>
      <c r="D39" s="141"/>
      <c r="E39" s="150"/>
      <c r="F39" s="71"/>
      <c r="G39" s="67"/>
      <c r="H39" s="67"/>
      <c r="I39" s="67"/>
      <c r="J39" s="67"/>
      <c r="K39" s="111"/>
      <c r="L39" s="68">
        <f t="shared" si="4"/>
        <v>0</v>
      </c>
      <c r="M39" s="72">
        <f>G39+I39+K39</f>
        <v>0</v>
      </c>
      <c r="N39" s="78">
        <f t="shared" si="5"/>
        <v>0</v>
      </c>
    </row>
    <row r="40" spans="1:16" ht="15.75" customHeight="1" x14ac:dyDescent="0.25">
      <c r="A40" s="124" t="s">
        <v>20</v>
      </c>
      <c r="B40" s="157"/>
      <c r="C40" s="141"/>
      <c r="D40" s="141"/>
      <c r="E40" s="150"/>
      <c r="F40" s="71">
        <v>342.83</v>
      </c>
      <c r="G40" s="67">
        <v>2070.29</v>
      </c>
      <c r="H40" s="67">
        <v>558.95000000000005</v>
      </c>
      <c r="I40" s="67">
        <v>300</v>
      </c>
      <c r="J40" s="67">
        <v>2361.11</v>
      </c>
      <c r="K40" s="111">
        <v>3273.85</v>
      </c>
      <c r="L40" s="68">
        <f t="shared" si="4"/>
        <v>3262.8900000000003</v>
      </c>
      <c r="M40" s="72">
        <v>36515</v>
      </c>
      <c r="N40" s="78">
        <f t="shared" si="5"/>
        <v>33252.11</v>
      </c>
    </row>
    <row r="41" spans="1:16" ht="15.75" customHeight="1" x14ac:dyDescent="0.25">
      <c r="A41" s="124" t="s">
        <v>21</v>
      </c>
      <c r="B41" s="157"/>
      <c r="C41" s="141"/>
      <c r="D41" s="141"/>
      <c r="E41" s="150"/>
      <c r="F41" s="71">
        <v>2618.6</v>
      </c>
      <c r="G41" s="67">
        <v>28264.23</v>
      </c>
      <c r="H41" s="67">
        <v>8943.2000000000007</v>
      </c>
      <c r="I41" s="67">
        <v>8605.76</v>
      </c>
      <c r="J41" s="67">
        <v>22428.25</v>
      </c>
      <c r="K41" s="111">
        <v>5380.58</v>
      </c>
      <c r="L41" s="68">
        <f t="shared" si="4"/>
        <v>33990.050000000003</v>
      </c>
      <c r="M41" s="72">
        <f t="shared" ref="M41:M55" si="6">SUM(G41,I41,K41)</f>
        <v>42250.57</v>
      </c>
      <c r="N41" s="78">
        <f t="shared" si="5"/>
        <v>8260.5199999999968</v>
      </c>
    </row>
    <row r="42" spans="1:16" ht="15.75" customHeight="1" x14ac:dyDescent="0.25">
      <c r="A42" s="124" t="s">
        <v>22</v>
      </c>
      <c r="B42" s="157"/>
      <c r="C42" s="141"/>
      <c r="D42" s="141"/>
      <c r="E42" s="150"/>
      <c r="F42" s="71"/>
      <c r="G42" s="67"/>
      <c r="H42" s="67"/>
      <c r="I42" s="67"/>
      <c r="J42" s="67"/>
      <c r="K42" s="111"/>
      <c r="L42" s="68">
        <f t="shared" si="4"/>
        <v>0</v>
      </c>
      <c r="M42" s="72">
        <f t="shared" si="6"/>
        <v>0</v>
      </c>
      <c r="N42" s="78">
        <f t="shared" si="5"/>
        <v>0</v>
      </c>
    </row>
    <row r="43" spans="1:16" ht="15.75" customHeight="1" x14ac:dyDescent="0.25">
      <c r="A43" s="125" t="s">
        <v>23</v>
      </c>
      <c r="B43" s="157"/>
      <c r="C43" s="141"/>
      <c r="D43" s="141"/>
      <c r="E43" s="150"/>
      <c r="F43" s="71"/>
      <c r="G43" s="67"/>
      <c r="H43" s="67"/>
      <c r="I43" s="67"/>
      <c r="J43" s="67"/>
      <c r="K43" s="111"/>
      <c r="L43" s="68">
        <f t="shared" si="4"/>
        <v>0</v>
      </c>
      <c r="M43" s="72">
        <f t="shared" si="6"/>
        <v>0</v>
      </c>
      <c r="N43" s="78">
        <f t="shared" si="5"/>
        <v>0</v>
      </c>
    </row>
    <row r="44" spans="1:16" ht="15.75" customHeight="1" x14ac:dyDescent="0.25">
      <c r="A44" s="124" t="s">
        <v>24</v>
      </c>
      <c r="B44" s="157"/>
      <c r="C44" s="141"/>
      <c r="D44" s="141"/>
      <c r="E44" s="150"/>
      <c r="F44" s="71">
        <v>45624.17</v>
      </c>
      <c r="G44" s="67">
        <v>135206.32</v>
      </c>
      <c r="H44" s="67">
        <v>70592.05</v>
      </c>
      <c r="I44" s="67">
        <v>29278.84</v>
      </c>
      <c r="J44" s="67">
        <v>73502.039999999994</v>
      </c>
      <c r="K44" s="111">
        <v>24350.01</v>
      </c>
      <c r="L44" s="68">
        <f t="shared" si="4"/>
        <v>189718.26</v>
      </c>
      <c r="M44" s="72">
        <f t="shared" si="6"/>
        <v>188835.17</v>
      </c>
      <c r="N44" s="78">
        <f t="shared" si="5"/>
        <v>-883.08999999999651</v>
      </c>
      <c r="P44" s="167"/>
    </row>
    <row r="45" spans="1:16" ht="15.75" customHeight="1" x14ac:dyDescent="0.25">
      <c r="A45" s="124" t="s">
        <v>25</v>
      </c>
      <c r="B45" s="157"/>
      <c r="C45" s="141"/>
      <c r="D45" s="141"/>
      <c r="E45" s="150"/>
      <c r="F45" s="71">
        <v>1496.66</v>
      </c>
      <c r="G45" s="67">
        <v>14120.11</v>
      </c>
      <c r="H45" s="67">
        <v>3353.7</v>
      </c>
      <c r="I45" s="67">
        <v>977.06</v>
      </c>
      <c r="J45" s="67">
        <v>9614.0400000000009</v>
      </c>
      <c r="K45" s="111">
        <v>6127.9</v>
      </c>
      <c r="L45" s="68">
        <f t="shared" si="4"/>
        <v>14464.400000000001</v>
      </c>
      <c r="M45" s="72">
        <f t="shared" si="6"/>
        <v>21225.07</v>
      </c>
      <c r="N45" s="78">
        <f t="shared" si="5"/>
        <v>6760.6699999999983</v>
      </c>
    </row>
    <row r="46" spans="1:16" ht="15.75" customHeight="1" x14ac:dyDescent="0.25">
      <c r="A46" s="124" t="s">
        <v>26</v>
      </c>
      <c r="B46" s="157"/>
      <c r="C46" s="141"/>
      <c r="D46" s="141"/>
      <c r="E46" s="150"/>
      <c r="G46" s="67"/>
      <c r="H46" s="67"/>
      <c r="I46" s="67"/>
      <c r="J46" s="71"/>
      <c r="K46" s="111"/>
      <c r="L46" s="68">
        <f t="shared" si="4"/>
        <v>0</v>
      </c>
      <c r="M46" s="72">
        <f t="shared" si="6"/>
        <v>0</v>
      </c>
      <c r="N46" s="78">
        <f t="shared" si="5"/>
        <v>0</v>
      </c>
    </row>
    <row r="47" spans="1:16" ht="15.75" customHeight="1" x14ac:dyDescent="0.25">
      <c r="A47" s="124" t="s">
        <v>27</v>
      </c>
      <c r="B47" s="157"/>
      <c r="C47" s="141"/>
      <c r="D47" s="141"/>
      <c r="E47" s="150"/>
      <c r="F47" s="71">
        <v>779212.78</v>
      </c>
      <c r="G47" s="67">
        <v>40250.57</v>
      </c>
      <c r="H47" s="67">
        <v>14243.75</v>
      </c>
      <c r="I47" s="67">
        <v>8559</v>
      </c>
      <c r="J47" s="67">
        <v>18525.28</v>
      </c>
      <c r="K47" s="111">
        <v>5771.86</v>
      </c>
      <c r="L47" s="68">
        <f t="shared" si="4"/>
        <v>811981.81</v>
      </c>
      <c r="M47" s="72">
        <f t="shared" si="6"/>
        <v>54581.43</v>
      </c>
      <c r="N47" s="78">
        <f t="shared" si="5"/>
        <v>-757400.38</v>
      </c>
    </row>
    <row r="48" spans="1:16" ht="15.75" customHeight="1" x14ac:dyDescent="0.25">
      <c r="A48" s="124" t="s">
        <v>28</v>
      </c>
      <c r="B48" s="157"/>
      <c r="C48" s="141"/>
      <c r="D48" s="141"/>
      <c r="E48" s="150"/>
      <c r="F48" s="71">
        <v>45</v>
      </c>
      <c r="G48" s="67">
        <v>67.5</v>
      </c>
      <c r="H48" s="67">
        <v>0</v>
      </c>
      <c r="I48" s="67">
        <v>0</v>
      </c>
      <c r="J48" s="67">
        <v>0</v>
      </c>
      <c r="K48" s="111">
        <v>0</v>
      </c>
      <c r="L48" s="68">
        <f t="shared" si="4"/>
        <v>45</v>
      </c>
      <c r="M48" s="72">
        <f t="shared" si="6"/>
        <v>67.5</v>
      </c>
      <c r="N48" s="78">
        <f t="shared" si="5"/>
        <v>22.5</v>
      </c>
    </row>
    <row r="49" spans="1:14" ht="15.75" customHeight="1" x14ac:dyDescent="0.25">
      <c r="A49" s="124" t="s">
        <v>29</v>
      </c>
      <c r="B49" s="157"/>
      <c r="C49" s="141"/>
      <c r="D49" s="141"/>
      <c r="E49" s="150"/>
      <c r="F49" s="71">
        <v>545586.35</v>
      </c>
      <c r="G49" s="67">
        <v>73954.880000000005</v>
      </c>
      <c r="H49" s="67">
        <v>314713.11</v>
      </c>
      <c r="I49" s="67">
        <v>445611.5</v>
      </c>
      <c r="J49" s="67">
        <v>36842.800000000003</v>
      </c>
      <c r="K49" s="111">
        <v>30101.97</v>
      </c>
      <c r="L49" s="68">
        <f t="shared" si="4"/>
        <v>897142.26</v>
      </c>
      <c r="M49" s="72">
        <f t="shared" si="6"/>
        <v>549668.35</v>
      </c>
      <c r="N49" s="78">
        <f t="shared" si="5"/>
        <v>-347473.91000000003</v>
      </c>
    </row>
    <row r="50" spans="1:14" ht="15.75" customHeight="1" x14ac:dyDescent="0.25">
      <c r="A50" s="124" t="s">
        <v>30</v>
      </c>
      <c r="B50" s="157"/>
      <c r="C50" s="141"/>
      <c r="D50" s="141"/>
      <c r="E50" s="150"/>
      <c r="F50" s="71"/>
      <c r="G50" s="67"/>
      <c r="H50" s="67"/>
      <c r="I50" s="67"/>
      <c r="J50" s="67"/>
      <c r="K50" s="111"/>
      <c r="L50" s="68">
        <f t="shared" si="4"/>
        <v>0</v>
      </c>
      <c r="M50" s="72">
        <f t="shared" si="6"/>
        <v>0</v>
      </c>
      <c r="N50" s="78">
        <f t="shared" si="5"/>
        <v>0</v>
      </c>
    </row>
    <row r="51" spans="1:14" ht="15.75" customHeight="1" x14ac:dyDescent="0.25">
      <c r="A51" s="124" t="s">
        <v>31</v>
      </c>
      <c r="B51" s="157"/>
      <c r="C51" s="141"/>
      <c r="D51" s="141"/>
      <c r="E51" s="150"/>
      <c r="F51" s="71"/>
      <c r="G51" s="71"/>
      <c r="H51" s="71"/>
      <c r="I51" s="71"/>
      <c r="J51" s="71"/>
      <c r="K51" s="112"/>
      <c r="L51" s="68">
        <f t="shared" si="4"/>
        <v>0</v>
      </c>
      <c r="M51" s="72">
        <f t="shared" si="6"/>
        <v>0</v>
      </c>
      <c r="N51" s="78">
        <f t="shared" si="5"/>
        <v>0</v>
      </c>
    </row>
    <row r="52" spans="1:14" ht="15.75" customHeight="1" x14ac:dyDescent="0.25">
      <c r="A52" s="124" t="s">
        <v>32</v>
      </c>
      <c r="B52" s="157"/>
      <c r="C52" s="141"/>
      <c r="D52" s="141"/>
      <c r="E52" s="150"/>
      <c r="F52" s="71">
        <v>41605.85</v>
      </c>
      <c r="G52" s="67">
        <v>19228.78</v>
      </c>
      <c r="H52" s="67">
        <v>24397.35</v>
      </c>
      <c r="I52" s="67">
        <v>18054</v>
      </c>
      <c r="J52" s="67">
        <v>9029.7900000000009</v>
      </c>
      <c r="K52" s="111">
        <v>14398.96</v>
      </c>
      <c r="L52" s="68">
        <f t="shared" si="4"/>
        <v>75032.989999999991</v>
      </c>
      <c r="M52" s="72">
        <f t="shared" si="6"/>
        <v>51681.74</v>
      </c>
      <c r="N52" s="78">
        <f t="shared" si="5"/>
        <v>-23351.249999999993</v>
      </c>
    </row>
    <row r="53" spans="1:14" ht="15.75" customHeight="1" x14ac:dyDescent="0.25">
      <c r="A53" s="125" t="s">
        <v>33</v>
      </c>
      <c r="B53" s="157"/>
      <c r="C53" s="141"/>
      <c r="D53" s="141"/>
      <c r="E53" s="150"/>
      <c r="F53" s="71"/>
      <c r="G53" s="67"/>
      <c r="H53" s="67"/>
      <c r="I53" s="67"/>
      <c r="J53" s="67"/>
      <c r="K53" s="111"/>
      <c r="L53" s="68">
        <f t="shared" si="4"/>
        <v>0</v>
      </c>
      <c r="M53" s="72">
        <f t="shared" si="6"/>
        <v>0</v>
      </c>
      <c r="N53" s="78">
        <f t="shared" si="5"/>
        <v>0</v>
      </c>
    </row>
    <row r="54" spans="1:14" ht="15.75" customHeight="1" x14ac:dyDescent="0.25">
      <c r="A54" s="124" t="s">
        <v>34</v>
      </c>
      <c r="B54" s="157"/>
      <c r="C54" s="141"/>
      <c r="D54" s="141"/>
      <c r="E54" s="150"/>
      <c r="F54" s="71"/>
      <c r="G54" s="67"/>
      <c r="H54" s="67"/>
      <c r="I54" s="67"/>
      <c r="J54" s="67"/>
      <c r="K54" s="111"/>
      <c r="L54" s="68">
        <f t="shared" si="4"/>
        <v>0</v>
      </c>
      <c r="M54" s="72">
        <f t="shared" si="6"/>
        <v>0</v>
      </c>
      <c r="N54" s="78">
        <f t="shared" si="5"/>
        <v>0</v>
      </c>
    </row>
    <row r="55" spans="1:14" ht="15.75" customHeight="1" x14ac:dyDescent="0.25">
      <c r="A55" s="124" t="s">
        <v>35</v>
      </c>
      <c r="B55" s="157"/>
      <c r="C55" s="141"/>
      <c r="D55" s="141"/>
      <c r="E55" s="150"/>
      <c r="F55" s="71">
        <v>340.88</v>
      </c>
      <c r="G55" s="67">
        <v>4104.9799999999996</v>
      </c>
      <c r="H55" s="67">
        <v>1117.9000000000001</v>
      </c>
      <c r="I55" s="67">
        <v>481.62</v>
      </c>
      <c r="J55" s="67">
        <v>3305.56</v>
      </c>
      <c r="K55" s="111">
        <v>1719.78</v>
      </c>
      <c r="L55" s="68">
        <f t="shared" si="4"/>
        <v>4764.34</v>
      </c>
      <c r="M55" s="72">
        <f t="shared" si="6"/>
        <v>6306.3799999999992</v>
      </c>
      <c r="N55" s="78">
        <f t="shared" si="5"/>
        <v>1542.0399999999991</v>
      </c>
    </row>
    <row r="56" spans="1:14" ht="15.75" customHeight="1" x14ac:dyDescent="0.25">
      <c r="A56" s="124" t="s">
        <v>36</v>
      </c>
      <c r="B56" s="157"/>
      <c r="C56" s="141"/>
      <c r="D56" s="141"/>
      <c r="E56" s="150"/>
      <c r="F56" s="71">
        <v>76064.36</v>
      </c>
      <c r="G56" s="67"/>
      <c r="H56" s="67">
        <v>175153.17</v>
      </c>
      <c r="I56" s="67"/>
      <c r="J56" s="67">
        <v>97069.57</v>
      </c>
      <c r="K56" s="111"/>
      <c r="L56" s="68">
        <f t="shared" si="4"/>
        <v>348287.10000000003</v>
      </c>
      <c r="M56" s="72">
        <v>400000</v>
      </c>
      <c r="N56" s="78">
        <f t="shared" si="5"/>
        <v>51712.899999999965</v>
      </c>
    </row>
    <row r="57" spans="1:14" ht="15.75" customHeight="1" x14ac:dyDescent="0.25">
      <c r="A57" s="125" t="s">
        <v>37</v>
      </c>
      <c r="B57" s="157"/>
      <c r="C57" s="141"/>
      <c r="D57" s="141"/>
      <c r="E57" s="150"/>
      <c r="F57" s="108"/>
      <c r="G57" s="67"/>
      <c r="H57" s="67"/>
      <c r="I57" s="67"/>
      <c r="J57" s="67"/>
      <c r="K57" s="111"/>
      <c r="L57" s="68">
        <f t="shared" si="4"/>
        <v>0</v>
      </c>
      <c r="M57" s="72">
        <f>G57+I57+K57</f>
        <v>0</v>
      </c>
      <c r="N57" s="78">
        <f t="shared" si="5"/>
        <v>0</v>
      </c>
    </row>
    <row r="58" spans="1:14" ht="15.75" customHeight="1" x14ac:dyDescent="0.25">
      <c r="A58" s="124" t="s">
        <v>38</v>
      </c>
      <c r="B58" s="157"/>
      <c r="C58" s="141"/>
      <c r="D58" s="141"/>
      <c r="E58" s="150"/>
      <c r="F58" s="71">
        <v>5840.44</v>
      </c>
      <c r="G58" s="67">
        <v>38032.03</v>
      </c>
      <c r="H58" s="71">
        <v>69389.88</v>
      </c>
      <c r="I58" s="67">
        <v>40217.1</v>
      </c>
      <c r="J58" s="67">
        <v>22918.57</v>
      </c>
      <c r="K58" s="111">
        <v>8034.01</v>
      </c>
      <c r="L58" s="68">
        <f t="shared" si="4"/>
        <v>98148.890000000014</v>
      </c>
      <c r="M58" s="72">
        <v>1940.1</v>
      </c>
      <c r="N58" s="78">
        <f t="shared" si="5"/>
        <v>-96208.790000000008</v>
      </c>
    </row>
    <row r="59" spans="1:14" ht="15.75" customHeight="1" x14ac:dyDescent="0.25">
      <c r="A59" s="124" t="s">
        <v>39</v>
      </c>
      <c r="B59" s="157"/>
      <c r="C59" s="141"/>
      <c r="D59" s="141"/>
      <c r="E59" s="150"/>
      <c r="F59" s="71">
        <v>1046.83</v>
      </c>
      <c r="G59" s="67">
        <v>6891.85</v>
      </c>
      <c r="H59" s="67">
        <v>573.45000000000005</v>
      </c>
      <c r="I59" s="67">
        <v>151.47</v>
      </c>
      <c r="J59" s="67">
        <v>2833.33</v>
      </c>
      <c r="K59" s="111">
        <v>770.21</v>
      </c>
      <c r="L59" s="68">
        <f t="shared" si="4"/>
        <v>4453.6099999999997</v>
      </c>
      <c r="M59" s="72">
        <f>G59+I59+K59</f>
        <v>7813.5300000000007</v>
      </c>
      <c r="N59" s="78">
        <f t="shared" si="5"/>
        <v>3359.920000000001</v>
      </c>
    </row>
    <row r="60" spans="1:14" ht="15.75" customHeight="1" x14ac:dyDescent="0.25">
      <c r="A60" s="124" t="s">
        <v>40</v>
      </c>
      <c r="B60" s="157"/>
      <c r="C60" s="141"/>
      <c r="D60" s="141"/>
      <c r="E60" s="150"/>
      <c r="F60" s="71"/>
      <c r="G60" s="67"/>
      <c r="H60" s="67">
        <v>2013681.81</v>
      </c>
      <c r="I60" s="67"/>
      <c r="J60" s="67"/>
      <c r="K60" s="111"/>
      <c r="L60" s="68">
        <f t="shared" si="4"/>
        <v>2013681.81</v>
      </c>
      <c r="M60" s="72">
        <v>2398651.06</v>
      </c>
      <c r="N60" s="78">
        <f t="shared" si="5"/>
        <v>384969.25</v>
      </c>
    </row>
    <row r="61" spans="1:14" ht="15.75" customHeight="1" x14ac:dyDescent="0.25">
      <c r="A61" s="124" t="s">
        <v>41</v>
      </c>
      <c r="B61" s="157"/>
      <c r="C61" s="141"/>
      <c r="D61" s="141"/>
      <c r="E61" s="150"/>
      <c r="F61" s="71"/>
      <c r="G61" s="67"/>
      <c r="H61" s="67"/>
      <c r="I61" s="67"/>
      <c r="J61" s="67"/>
      <c r="K61" s="111"/>
      <c r="L61" s="68">
        <f t="shared" si="4"/>
        <v>0</v>
      </c>
      <c r="M61" s="145">
        <f>G61+I61+K61</f>
        <v>0</v>
      </c>
      <c r="N61" s="78">
        <f t="shared" si="5"/>
        <v>0</v>
      </c>
    </row>
    <row r="62" spans="1:14" ht="16.5" customHeight="1" thickBot="1" x14ac:dyDescent="0.3">
      <c r="A62" s="126" t="s">
        <v>42</v>
      </c>
      <c r="B62" s="158"/>
      <c r="C62" s="159"/>
      <c r="D62" s="159"/>
      <c r="E62" s="160"/>
      <c r="F62" s="71">
        <v>229327.85</v>
      </c>
      <c r="G62" s="67">
        <v>26622.34</v>
      </c>
      <c r="H62" s="69">
        <v>145104.06</v>
      </c>
      <c r="I62" s="69">
        <v>139305.53</v>
      </c>
      <c r="J62" s="69">
        <v>14236.91</v>
      </c>
      <c r="K62" s="113">
        <v>18213.740000000002</v>
      </c>
      <c r="L62" s="74">
        <f t="shared" si="4"/>
        <v>388668.82</v>
      </c>
      <c r="M62" s="73">
        <f>SUM(G62,I62,K62)</f>
        <v>184141.61</v>
      </c>
      <c r="N62" s="80">
        <f t="shared" si="5"/>
        <v>-204527.21000000002</v>
      </c>
    </row>
    <row r="63" spans="1:14" ht="30" customHeight="1" thickBot="1" x14ac:dyDescent="0.3">
      <c r="A63" s="121" t="s">
        <v>9</v>
      </c>
      <c r="B63" s="127">
        <f t="shared" ref="B63:N63" si="7">SUM(B37:B62)</f>
        <v>0</v>
      </c>
      <c r="C63" s="127">
        <f t="shared" si="7"/>
        <v>0</v>
      </c>
      <c r="D63" s="127">
        <f t="shared" si="7"/>
        <v>0</v>
      </c>
      <c r="E63" s="127">
        <f t="shared" si="7"/>
        <v>0</v>
      </c>
      <c r="F63" s="85">
        <f t="shared" si="7"/>
        <v>1748930.0400000003</v>
      </c>
      <c r="G63" s="85">
        <f t="shared" si="7"/>
        <v>388813.88000000006</v>
      </c>
      <c r="H63" s="85">
        <f t="shared" si="7"/>
        <v>2874216.69</v>
      </c>
      <c r="I63" s="85">
        <f t="shared" si="7"/>
        <v>691541.88</v>
      </c>
      <c r="J63" s="85">
        <f t="shared" si="7"/>
        <v>394848.05</v>
      </c>
      <c r="K63" s="85">
        <f t="shared" si="7"/>
        <v>118142.87000000001</v>
      </c>
      <c r="L63" s="128">
        <f t="shared" si="7"/>
        <v>5017994.78</v>
      </c>
      <c r="M63" s="114">
        <f t="shared" si="7"/>
        <v>4120032.51</v>
      </c>
      <c r="N63" s="129">
        <f t="shared" si="7"/>
        <v>-897962.27</v>
      </c>
    </row>
    <row r="64" spans="1:14" ht="15.75" customHeight="1" thickBot="1" x14ac:dyDescent="0.3"/>
    <row r="65" spans="1:14" ht="30" customHeight="1" thickBot="1" x14ac:dyDescent="0.3">
      <c r="A65" s="172" t="s">
        <v>44</v>
      </c>
      <c r="B65" s="173"/>
      <c r="C65" s="173"/>
      <c r="D65" s="173"/>
      <c r="E65" s="173"/>
      <c r="F65" s="171"/>
      <c r="G65" s="175" t="str">
        <f>"INTERNAÇÕES - "&amp; '[1]intern. diaria convenio'!$E$42</f>
        <v>INTERNAÇÕES - 544</v>
      </c>
      <c r="H65" s="173"/>
      <c r="I65" s="176"/>
      <c r="J65" s="173"/>
      <c r="K65" s="175" t="str">
        <f>"DIÁRIAS - " &amp;'[1]intern. diaria convenio'!$E$88</f>
        <v>DIÁRIAS - 4808</v>
      </c>
      <c r="L65" s="173"/>
      <c r="M65" s="134"/>
      <c r="N65" s="135"/>
    </row>
    <row r="66" spans="1:14" ht="15" customHeight="1" thickBot="1" x14ac:dyDescent="0.3">
      <c r="A66" s="168" t="s">
        <v>2</v>
      </c>
      <c r="B66" s="174" t="s">
        <v>3</v>
      </c>
      <c r="C66" s="173"/>
      <c r="D66" s="173"/>
      <c r="E66" s="171"/>
      <c r="F66" s="170" t="s">
        <v>4</v>
      </c>
      <c r="G66" s="171"/>
      <c r="H66" s="170" t="s">
        <v>5</v>
      </c>
      <c r="I66" s="171"/>
      <c r="J66" s="170" t="s">
        <v>6</v>
      </c>
      <c r="K66" s="171"/>
      <c r="L66" s="117" t="s">
        <v>7</v>
      </c>
      <c r="M66" s="116" t="s">
        <v>8</v>
      </c>
      <c r="N66" s="118" t="s">
        <v>9</v>
      </c>
    </row>
    <row r="67" spans="1:14" ht="15.75" customHeight="1" thickBot="1" x14ac:dyDescent="0.3">
      <c r="A67" s="169"/>
      <c r="B67" s="122" t="s">
        <v>10</v>
      </c>
      <c r="C67" s="116" t="s">
        <v>11</v>
      </c>
      <c r="D67" s="122" t="s">
        <v>12</v>
      </c>
      <c r="E67" s="116" t="s">
        <v>13</v>
      </c>
      <c r="F67" s="109" t="s">
        <v>14</v>
      </c>
      <c r="G67" s="110" t="s">
        <v>15</v>
      </c>
      <c r="H67" s="109" t="s">
        <v>14</v>
      </c>
      <c r="I67" s="110" t="s">
        <v>15</v>
      </c>
      <c r="J67" s="109" t="s">
        <v>14</v>
      </c>
      <c r="K67" s="110" t="s">
        <v>15</v>
      </c>
      <c r="L67" s="116" t="s">
        <v>14</v>
      </c>
      <c r="M67" s="119" t="s">
        <v>15</v>
      </c>
      <c r="N67" s="120" t="s">
        <v>16</v>
      </c>
    </row>
    <row r="68" spans="1:14" ht="15.75" customHeight="1" x14ac:dyDescent="0.25">
      <c r="A68" s="123" t="s">
        <v>17</v>
      </c>
      <c r="B68" s="154"/>
      <c r="C68" s="155"/>
      <c r="D68" s="155"/>
      <c r="E68" s="156"/>
      <c r="F68" s="71">
        <v>21886.55</v>
      </c>
      <c r="G68" s="67"/>
      <c r="H68" s="67">
        <v>35189.06</v>
      </c>
      <c r="I68" s="67"/>
      <c r="J68" s="67">
        <v>84338.17</v>
      </c>
      <c r="K68" s="111"/>
      <c r="L68" s="143">
        <f t="shared" ref="L68:L93" si="8">F68+H68+J68</f>
        <v>141413.78</v>
      </c>
      <c r="M68" s="142">
        <v>149190</v>
      </c>
      <c r="N68" s="78">
        <f t="shared" ref="N68:N93" si="9">M68-L68</f>
        <v>7776.2200000000012</v>
      </c>
    </row>
    <row r="69" spans="1:14" ht="15.75" customHeight="1" x14ac:dyDescent="0.25">
      <c r="A69" s="124" t="s">
        <v>18</v>
      </c>
      <c r="B69" s="157"/>
      <c r="C69" s="141"/>
      <c r="D69" s="141"/>
      <c r="E69" s="150"/>
      <c r="F69" s="71"/>
      <c r="G69" s="67"/>
      <c r="H69" s="67"/>
      <c r="I69" s="67"/>
      <c r="J69" s="67"/>
      <c r="K69" s="111"/>
      <c r="L69" s="68">
        <f t="shared" si="8"/>
        <v>0</v>
      </c>
      <c r="M69" s="72">
        <v>0</v>
      </c>
      <c r="N69" s="78">
        <f t="shared" si="9"/>
        <v>0</v>
      </c>
    </row>
    <row r="70" spans="1:14" ht="15.75" customHeight="1" x14ac:dyDescent="0.25">
      <c r="A70" s="124" t="s">
        <v>19</v>
      </c>
      <c r="B70" s="157"/>
      <c r="C70" s="141"/>
      <c r="D70" s="141"/>
      <c r="E70" s="150"/>
      <c r="F70" s="71"/>
      <c r="G70" s="67"/>
      <c r="H70" s="67"/>
      <c r="I70" s="67"/>
      <c r="J70" s="67"/>
      <c r="K70" s="111"/>
      <c r="L70" s="68">
        <f t="shared" si="8"/>
        <v>0</v>
      </c>
      <c r="M70" s="72">
        <f>G70+I70+K70</f>
        <v>0</v>
      </c>
      <c r="N70" s="78">
        <f t="shared" si="9"/>
        <v>0</v>
      </c>
    </row>
    <row r="71" spans="1:14" ht="15.75" customHeight="1" x14ac:dyDescent="0.25">
      <c r="A71" s="124" t="s">
        <v>20</v>
      </c>
      <c r="B71" s="157"/>
      <c r="C71" s="141"/>
      <c r="D71" s="141"/>
      <c r="E71" s="150"/>
      <c r="F71" s="71">
        <v>1280.8699999999999</v>
      </c>
      <c r="G71" s="67">
        <v>7806.69</v>
      </c>
      <c r="H71" s="67">
        <v>2235.8000000000002</v>
      </c>
      <c r="I71" s="67">
        <v>1800</v>
      </c>
      <c r="J71" s="67">
        <v>6138.89</v>
      </c>
      <c r="K71" s="111">
        <v>10786.85</v>
      </c>
      <c r="L71" s="68">
        <f t="shared" si="8"/>
        <v>9655.5600000000013</v>
      </c>
      <c r="M71" s="72">
        <v>37165</v>
      </c>
      <c r="N71" s="78">
        <f t="shared" si="9"/>
        <v>27509.439999999999</v>
      </c>
    </row>
    <row r="72" spans="1:14" ht="15.75" customHeight="1" x14ac:dyDescent="0.25">
      <c r="A72" s="124" t="s">
        <v>21</v>
      </c>
      <c r="B72" s="157"/>
      <c r="C72" s="141"/>
      <c r="D72" s="141"/>
      <c r="E72" s="150"/>
      <c r="F72" s="71">
        <v>7305.55</v>
      </c>
      <c r="G72" s="67">
        <v>27949.64</v>
      </c>
      <c r="H72" s="67">
        <v>8384.25</v>
      </c>
      <c r="I72" s="67">
        <v>8067.9</v>
      </c>
      <c r="J72" s="67">
        <v>1541.54</v>
      </c>
      <c r="K72" s="111">
        <v>2149.6999999999998</v>
      </c>
      <c r="L72" s="68">
        <f t="shared" si="8"/>
        <v>17231.34</v>
      </c>
      <c r="M72" s="72">
        <f t="shared" ref="M72:M86" si="10">SUM(G72,I72,K72)</f>
        <v>38167.24</v>
      </c>
      <c r="N72" s="78">
        <f t="shared" si="9"/>
        <v>20935.899999999998</v>
      </c>
    </row>
    <row r="73" spans="1:14" ht="15.75" customHeight="1" x14ac:dyDescent="0.25">
      <c r="A73" s="124" t="s">
        <v>22</v>
      </c>
      <c r="B73" s="157"/>
      <c r="C73" s="141"/>
      <c r="D73" s="141"/>
      <c r="E73" s="150"/>
      <c r="F73" s="71"/>
      <c r="G73" s="67"/>
      <c r="H73" s="67"/>
      <c r="I73" s="67"/>
      <c r="J73" s="67"/>
      <c r="K73" s="111"/>
      <c r="L73" s="68">
        <f t="shared" si="8"/>
        <v>0</v>
      </c>
      <c r="M73" s="72">
        <f t="shared" si="10"/>
        <v>0</v>
      </c>
      <c r="N73" s="78">
        <f t="shared" si="9"/>
        <v>0</v>
      </c>
    </row>
    <row r="74" spans="1:14" ht="15.75" customHeight="1" x14ac:dyDescent="0.25">
      <c r="A74" s="125" t="s">
        <v>23</v>
      </c>
      <c r="B74" s="157"/>
      <c r="C74" s="141"/>
      <c r="D74" s="141"/>
      <c r="E74" s="150"/>
      <c r="F74" s="71"/>
      <c r="G74" s="67"/>
      <c r="H74" s="67"/>
      <c r="I74" s="67"/>
      <c r="J74" s="67"/>
      <c r="K74" s="111"/>
      <c r="L74" s="68">
        <f t="shared" si="8"/>
        <v>0</v>
      </c>
      <c r="M74" s="72">
        <f t="shared" si="10"/>
        <v>0</v>
      </c>
      <c r="N74" s="78">
        <f t="shared" si="9"/>
        <v>0</v>
      </c>
    </row>
    <row r="75" spans="1:14" ht="15.75" customHeight="1" x14ac:dyDescent="0.25">
      <c r="A75" s="124" t="s">
        <v>24</v>
      </c>
      <c r="B75" s="157"/>
      <c r="C75" s="141"/>
      <c r="D75" s="141"/>
      <c r="E75" s="150"/>
      <c r="F75" s="71">
        <v>47071.7</v>
      </c>
      <c r="G75" s="67">
        <v>105103.89</v>
      </c>
      <c r="H75" s="67">
        <v>36890.699999999997</v>
      </c>
      <c r="I75" s="67">
        <v>15732</v>
      </c>
      <c r="J75" s="67">
        <v>53692.18</v>
      </c>
      <c r="K75" s="111">
        <v>22429.93</v>
      </c>
      <c r="L75" s="68">
        <f t="shared" si="8"/>
        <v>137654.57999999999</v>
      </c>
      <c r="M75" s="72">
        <f t="shared" si="10"/>
        <v>143265.82</v>
      </c>
      <c r="N75" s="78">
        <f t="shared" si="9"/>
        <v>5611.2400000000198</v>
      </c>
    </row>
    <row r="76" spans="1:14" ht="15.75" customHeight="1" x14ac:dyDescent="0.25">
      <c r="A76" s="124" t="s">
        <v>25</v>
      </c>
      <c r="B76" s="157"/>
      <c r="C76" s="141"/>
      <c r="D76" s="141"/>
      <c r="E76" s="150"/>
      <c r="F76" s="71">
        <v>602.24</v>
      </c>
      <c r="G76" s="67">
        <v>4609.17</v>
      </c>
      <c r="H76" s="67">
        <v>1132.4000000000001</v>
      </c>
      <c r="I76" s="67">
        <v>457.25</v>
      </c>
      <c r="J76" s="67">
        <v>4722.22</v>
      </c>
      <c r="K76" s="111">
        <v>1498.18</v>
      </c>
      <c r="L76" s="68">
        <f t="shared" si="8"/>
        <v>6456.8600000000006</v>
      </c>
      <c r="M76" s="72">
        <f t="shared" si="10"/>
        <v>6564.6</v>
      </c>
      <c r="N76" s="78">
        <f t="shared" si="9"/>
        <v>107.73999999999978</v>
      </c>
    </row>
    <row r="77" spans="1:14" ht="15.75" customHeight="1" x14ac:dyDescent="0.25">
      <c r="A77" s="124" t="s">
        <v>26</v>
      </c>
      <c r="B77" s="157"/>
      <c r="C77" s="141"/>
      <c r="D77" s="141"/>
      <c r="E77" s="150"/>
      <c r="F77">
        <v>328.95</v>
      </c>
      <c r="G77" s="67">
        <v>2391.5700000000002</v>
      </c>
      <c r="H77" s="67">
        <v>558.95000000000005</v>
      </c>
      <c r="I77" s="67">
        <v>189</v>
      </c>
      <c r="J77" s="71">
        <v>944.45</v>
      </c>
      <c r="K77" s="111">
        <v>751.96</v>
      </c>
      <c r="L77" s="68">
        <f t="shared" si="8"/>
        <v>1832.3500000000001</v>
      </c>
      <c r="M77" s="72">
        <f t="shared" si="10"/>
        <v>3332.53</v>
      </c>
      <c r="N77" s="78">
        <f t="shared" si="9"/>
        <v>1500.18</v>
      </c>
    </row>
    <row r="78" spans="1:14" ht="15.75" customHeight="1" x14ac:dyDescent="0.25">
      <c r="A78" s="124" t="s">
        <v>27</v>
      </c>
      <c r="B78" s="157"/>
      <c r="C78" s="141"/>
      <c r="D78" s="141"/>
      <c r="E78" s="150"/>
      <c r="F78" s="71">
        <v>192760.64</v>
      </c>
      <c r="G78" s="67">
        <v>70379.69</v>
      </c>
      <c r="H78" s="67">
        <v>23929.5</v>
      </c>
      <c r="I78" s="67">
        <v>14379.12</v>
      </c>
      <c r="J78" s="67">
        <v>14893.2</v>
      </c>
      <c r="K78" s="111">
        <v>4978.71</v>
      </c>
      <c r="L78" s="68">
        <f t="shared" si="8"/>
        <v>231583.34000000003</v>
      </c>
      <c r="M78" s="72">
        <f t="shared" si="10"/>
        <v>89737.52</v>
      </c>
      <c r="N78" s="78">
        <f t="shared" si="9"/>
        <v>-141845.82</v>
      </c>
    </row>
    <row r="79" spans="1:14" ht="15.75" customHeight="1" x14ac:dyDescent="0.25">
      <c r="A79" s="124" t="s">
        <v>28</v>
      </c>
      <c r="B79" s="157"/>
      <c r="C79" s="141"/>
      <c r="D79" s="141"/>
      <c r="E79" s="150"/>
      <c r="F79" s="71">
        <v>16739.599999999999</v>
      </c>
      <c r="G79" s="67">
        <v>5679.07</v>
      </c>
      <c r="H79" s="67">
        <v>558.95000000000005</v>
      </c>
      <c r="I79" s="67">
        <v>291</v>
      </c>
      <c r="J79" s="67">
        <v>0</v>
      </c>
      <c r="K79" s="111">
        <v>0</v>
      </c>
      <c r="L79" s="68">
        <f t="shared" si="8"/>
        <v>17298.55</v>
      </c>
      <c r="M79" s="72">
        <f t="shared" si="10"/>
        <v>5970.07</v>
      </c>
      <c r="N79" s="78">
        <f t="shared" si="9"/>
        <v>-11328.48</v>
      </c>
    </row>
    <row r="80" spans="1:14" ht="15.75" customHeight="1" x14ac:dyDescent="0.25">
      <c r="A80" s="124" t="s">
        <v>29</v>
      </c>
      <c r="B80" s="157"/>
      <c r="C80" s="141"/>
      <c r="D80" s="141"/>
      <c r="E80" s="150"/>
      <c r="F80" s="71">
        <v>554286.54</v>
      </c>
      <c r="G80" s="67">
        <v>195849.51</v>
      </c>
      <c r="H80" s="67">
        <v>402539.84</v>
      </c>
      <c r="I80" s="67">
        <v>547531.13</v>
      </c>
      <c r="J80" s="67">
        <v>41276.519999999997</v>
      </c>
      <c r="K80" s="111">
        <v>33686.76</v>
      </c>
      <c r="L80" s="68">
        <f t="shared" si="8"/>
        <v>998102.90000000014</v>
      </c>
      <c r="M80" s="72">
        <f t="shared" si="10"/>
        <v>777067.4</v>
      </c>
      <c r="N80" s="78">
        <f t="shared" si="9"/>
        <v>-221035.50000000012</v>
      </c>
    </row>
    <row r="81" spans="1:14" ht="15.75" customHeight="1" x14ac:dyDescent="0.25">
      <c r="A81" s="124" t="s">
        <v>30</v>
      </c>
      <c r="B81" s="157"/>
      <c r="C81" s="141"/>
      <c r="D81" s="141"/>
      <c r="E81" s="150"/>
      <c r="F81" s="71"/>
      <c r="G81" s="67"/>
      <c r="H81" s="67"/>
      <c r="I81" s="67"/>
      <c r="J81" s="67"/>
      <c r="K81" s="111"/>
      <c r="L81" s="68">
        <f t="shared" si="8"/>
        <v>0</v>
      </c>
      <c r="M81" s="72">
        <f t="shared" si="10"/>
        <v>0</v>
      </c>
      <c r="N81" s="78">
        <f t="shared" si="9"/>
        <v>0</v>
      </c>
    </row>
    <row r="82" spans="1:14" ht="15.75" customHeight="1" x14ac:dyDescent="0.25">
      <c r="A82" s="124" t="s">
        <v>31</v>
      </c>
      <c r="B82" s="157"/>
      <c r="C82" s="141"/>
      <c r="D82" s="141"/>
      <c r="E82" s="150"/>
      <c r="F82" s="71"/>
      <c r="G82" s="71"/>
      <c r="H82" s="71"/>
      <c r="I82" s="71"/>
      <c r="J82" s="71"/>
      <c r="K82" s="112"/>
      <c r="L82" s="68">
        <f t="shared" si="8"/>
        <v>0</v>
      </c>
      <c r="M82" s="72">
        <f t="shared" si="10"/>
        <v>0</v>
      </c>
      <c r="N82" s="78">
        <f t="shared" si="9"/>
        <v>0</v>
      </c>
    </row>
    <row r="83" spans="1:14" ht="15.75" customHeight="1" x14ac:dyDescent="0.25">
      <c r="A83" s="124" t="s">
        <v>32</v>
      </c>
      <c r="B83" s="157"/>
      <c r="C83" s="141"/>
      <c r="D83" s="141"/>
      <c r="E83" s="150"/>
      <c r="F83" s="71">
        <v>21200.04</v>
      </c>
      <c r="G83" s="67">
        <v>67059.070000000007</v>
      </c>
      <c r="H83" s="67">
        <v>58977.25</v>
      </c>
      <c r="I83" s="67">
        <v>46173</v>
      </c>
      <c r="J83" s="67">
        <v>20237.009999999998</v>
      </c>
      <c r="K83" s="111">
        <v>36170.92</v>
      </c>
      <c r="L83" s="68">
        <f t="shared" si="8"/>
        <v>100414.3</v>
      </c>
      <c r="M83" s="72">
        <f t="shared" si="10"/>
        <v>149402.99</v>
      </c>
      <c r="N83" s="78">
        <f t="shared" si="9"/>
        <v>48988.689999999988</v>
      </c>
    </row>
    <row r="84" spans="1:14" ht="15.75" customHeight="1" x14ac:dyDescent="0.25">
      <c r="A84" s="125" t="s">
        <v>33</v>
      </c>
      <c r="B84" s="157"/>
      <c r="C84" s="141"/>
      <c r="D84" s="141"/>
      <c r="E84" s="150"/>
      <c r="F84" s="71"/>
      <c r="G84" s="67"/>
      <c r="H84" s="67"/>
      <c r="I84" s="67"/>
      <c r="J84" s="67"/>
      <c r="K84" s="111"/>
      <c r="L84" s="68">
        <f t="shared" si="8"/>
        <v>0</v>
      </c>
      <c r="M84" s="72">
        <f t="shared" si="10"/>
        <v>0</v>
      </c>
      <c r="N84" s="78">
        <f t="shared" si="9"/>
        <v>0</v>
      </c>
    </row>
    <row r="85" spans="1:14" ht="15.75" customHeight="1" x14ac:dyDescent="0.25">
      <c r="A85" s="124" t="s">
        <v>34</v>
      </c>
      <c r="B85" s="157"/>
      <c r="C85" s="141"/>
      <c r="D85" s="141"/>
      <c r="E85" s="150"/>
      <c r="F85" s="71"/>
      <c r="G85" s="67"/>
      <c r="H85" s="67"/>
      <c r="I85" s="67"/>
      <c r="J85" s="67"/>
      <c r="K85" s="111"/>
      <c r="L85" s="68">
        <f t="shared" si="8"/>
        <v>0</v>
      </c>
      <c r="M85" s="72">
        <f t="shared" si="10"/>
        <v>0</v>
      </c>
      <c r="N85" s="78">
        <f t="shared" si="9"/>
        <v>0</v>
      </c>
    </row>
    <row r="86" spans="1:14" ht="15.75" customHeight="1" x14ac:dyDescent="0.25">
      <c r="A86" s="124" t="s">
        <v>35</v>
      </c>
      <c r="B86" s="157"/>
      <c r="C86" s="141"/>
      <c r="D86" s="141"/>
      <c r="E86" s="150"/>
      <c r="F86" s="71">
        <v>1587.94</v>
      </c>
      <c r="G86" s="67">
        <v>5274.59</v>
      </c>
      <c r="H86" s="67">
        <v>1132.4000000000001</v>
      </c>
      <c r="I86" s="67">
        <v>431.1</v>
      </c>
      <c r="J86" s="67">
        <v>2326.9699999999998</v>
      </c>
      <c r="K86" s="111">
        <v>1444.29</v>
      </c>
      <c r="L86" s="68">
        <f t="shared" si="8"/>
        <v>5047.3099999999995</v>
      </c>
      <c r="M86" s="72">
        <f t="shared" si="10"/>
        <v>7149.9800000000005</v>
      </c>
      <c r="N86" s="78">
        <f t="shared" si="9"/>
        <v>2102.670000000001</v>
      </c>
    </row>
    <row r="87" spans="1:14" ht="15.75" customHeight="1" x14ac:dyDescent="0.25">
      <c r="A87" s="124" t="s">
        <v>36</v>
      </c>
      <c r="B87" s="157"/>
      <c r="C87" s="141"/>
      <c r="D87" s="141"/>
      <c r="E87" s="150"/>
      <c r="F87" s="71">
        <v>106300.25</v>
      </c>
      <c r="G87" s="67"/>
      <c r="H87" s="67">
        <v>240643.09</v>
      </c>
      <c r="I87" s="67"/>
      <c r="J87" s="67">
        <v>177387.54</v>
      </c>
      <c r="K87" s="111"/>
      <c r="L87" s="68">
        <f t="shared" si="8"/>
        <v>524330.88</v>
      </c>
      <c r="M87" s="72">
        <v>400000</v>
      </c>
      <c r="N87" s="78">
        <f t="shared" si="9"/>
        <v>-124330.88</v>
      </c>
    </row>
    <row r="88" spans="1:14" ht="15.75" customHeight="1" x14ac:dyDescent="0.25">
      <c r="A88" s="125" t="s">
        <v>37</v>
      </c>
      <c r="B88" s="157"/>
      <c r="C88" s="141"/>
      <c r="D88" s="141"/>
      <c r="E88" s="150"/>
      <c r="F88" s="108"/>
      <c r="G88" s="67"/>
      <c r="H88" s="67"/>
      <c r="I88" s="67"/>
      <c r="J88" s="67"/>
      <c r="K88" s="111"/>
      <c r="L88" s="68">
        <f t="shared" si="8"/>
        <v>0</v>
      </c>
      <c r="M88" s="72">
        <f>G88+I88+K88</f>
        <v>0</v>
      </c>
      <c r="N88" s="78">
        <f t="shared" si="9"/>
        <v>0</v>
      </c>
    </row>
    <row r="89" spans="1:14" ht="15.75" customHeight="1" x14ac:dyDescent="0.25">
      <c r="A89" s="124" t="s">
        <v>38</v>
      </c>
      <c r="B89" s="157"/>
      <c r="C89" s="141"/>
      <c r="D89" s="141"/>
      <c r="E89" s="150"/>
      <c r="F89" s="71">
        <v>6455.07</v>
      </c>
      <c r="G89" s="67">
        <v>38617.199999999997</v>
      </c>
      <c r="H89" s="71">
        <v>9960.75</v>
      </c>
      <c r="I89" s="67">
        <v>5516.7</v>
      </c>
      <c r="J89" s="67">
        <v>10574.53</v>
      </c>
      <c r="K89" s="111">
        <v>2747.28</v>
      </c>
      <c r="L89" s="68">
        <f t="shared" si="8"/>
        <v>26990.35</v>
      </c>
      <c r="M89" s="72">
        <v>2591.8000000000002</v>
      </c>
      <c r="N89" s="78">
        <f t="shared" si="9"/>
        <v>-24398.55</v>
      </c>
    </row>
    <row r="90" spans="1:14" ht="15.75" customHeight="1" x14ac:dyDescent="0.25">
      <c r="A90" s="124" t="s">
        <v>39</v>
      </c>
      <c r="B90" s="157"/>
      <c r="C90" s="141"/>
      <c r="D90" s="141"/>
      <c r="E90" s="150"/>
      <c r="F90" s="71"/>
      <c r="G90" s="67"/>
      <c r="H90" s="67"/>
      <c r="I90" s="67"/>
      <c r="J90" s="67"/>
      <c r="K90" s="111"/>
      <c r="L90" s="68">
        <f t="shared" si="8"/>
        <v>0</v>
      </c>
      <c r="M90" s="72">
        <f>G90+I90+K90</f>
        <v>0</v>
      </c>
      <c r="N90" s="78">
        <f t="shared" si="9"/>
        <v>0</v>
      </c>
    </row>
    <row r="91" spans="1:14" ht="15.75" customHeight="1" x14ac:dyDescent="0.25">
      <c r="A91" s="124" t="s">
        <v>40</v>
      </c>
      <c r="B91" s="157"/>
      <c r="C91" s="141"/>
      <c r="D91" s="141"/>
      <c r="E91" s="150"/>
      <c r="F91" s="71"/>
      <c r="G91" s="67"/>
      <c r="H91" s="67">
        <v>1768065.9</v>
      </c>
      <c r="I91" s="67"/>
      <c r="J91" s="67"/>
      <c r="K91" s="111"/>
      <c r="L91" s="68">
        <f t="shared" si="8"/>
        <v>1768065.9</v>
      </c>
      <c r="M91" s="72">
        <v>2329414.52</v>
      </c>
      <c r="N91" s="78">
        <f t="shared" si="9"/>
        <v>561348.62000000011</v>
      </c>
    </row>
    <row r="92" spans="1:14" ht="15.75" customHeight="1" x14ac:dyDescent="0.25">
      <c r="A92" s="124" t="s">
        <v>41</v>
      </c>
      <c r="B92" s="157"/>
      <c r="C92" s="141"/>
      <c r="D92" s="141"/>
      <c r="E92" s="150"/>
      <c r="F92" s="71"/>
      <c r="G92" s="67"/>
      <c r="H92" s="67"/>
      <c r="I92" s="67"/>
      <c r="J92" s="67"/>
      <c r="K92" s="111"/>
      <c r="L92" s="68">
        <f t="shared" si="8"/>
        <v>0</v>
      </c>
      <c r="M92" s="145">
        <f>G92+I92+K92</f>
        <v>0</v>
      </c>
      <c r="N92" s="78">
        <f t="shared" si="9"/>
        <v>0</v>
      </c>
    </row>
    <row r="93" spans="1:14" ht="16.5" customHeight="1" thickBot="1" x14ac:dyDescent="0.3">
      <c r="A93" s="126" t="s">
        <v>42</v>
      </c>
      <c r="B93" s="158"/>
      <c r="C93" s="159"/>
      <c r="D93" s="159"/>
      <c r="E93" s="160"/>
      <c r="F93" s="71">
        <v>484559.35</v>
      </c>
      <c r="G93" s="67">
        <v>79526.84</v>
      </c>
      <c r="H93" s="69">
        <v>265167.99</v>
      </c>
      <c r="I93" s="69">
        <v>261621.02</v>
      </c>
      <c r="J93" s="69">
        <v>34209.300000000003</v>
      </c>
      <c r="K93" s="113">
        <v>52243.62</v>
      </c>
      <c r="L93" s="74">
        <f t="shared" si="8"/>
        <v>783936.64</v>
      </c>
      <c r="M93" s="73">
        <f>SUM(G93,I93,K93)</f>
        <v>393391.48</v>
      </c>
      <c r="N93" s="80">
        <f t="shared" si="9"/>
        <v>-390545.16000000003</v>
      </c>
    </row>
    <row r="94" spans="1:14" ht="30" customHeight="1" thickBot="1" x14ac:dyDescent="0.3">
      <c r="A94" s="121" t="s">
        <v>9</v>
      </c>
      <c r="B94" s="127">
        <f t="shared" ref="B94:N94" si="11">SUM(B68:B93)</f>
        <v>0</v>
      </c>
      <c r="C94" s="127">
        <f t="shared" si="11"/>
        <v>0</v>
      </c>
      <c r="D94" s="127">
        <f t="shared" si="11"/>
        <v>0</v>
      </c>
      <c r="E94" s="127">
        <f t="shared" si="11"/>
        <v>0</v>
      </c>
      <c r="F94" s="85">
        <f t="shared" si="11"/>
        <v>1462365.29</v>
      </c>
      <c r="G94" s="85">
        <f t="shared" si="11"/>
        <v>610246.93000000005</v>
      </c>
      <c r="H94" s="85">
        <f t="shared" si="11"/>
        <v>2855366.83</v>
      </c>
      <c r="I94" s="85">
        <f t="shared" si="11"/>
        <v>902189.22</v>
      </c>
      <c r="J94" s="85">
        <f t="shared" si="11"/>
        <v>452282.52000000008</v>
      </c>
      <c r="K94" s="85">
        <f t="shared" si="11"/>
        <v>168888.19999999998</v>
      </c>
      <c r="L94" s="128">
        <f t="shared" si="11"/>
        <v>4770014.6400000006</v>
      </c>
      <c r="M94" s="114">
        <f t="shared" si="11"/>
        <v>4532410.95</v>
      </c>
      <c r="N94" s="129">
        <f t="shared" si="11"/>
        <v>-237603.69</v>
      </c>
    </row>
    <row r="95" spans="1:14" ht="15.75" customHeight="1" thickBot="1" x14ac:dyDescent="0.3"/>
    <row r="96" spans="1:14" ht="30" customHeight="1" thickBot="1" x14ac:dyDescent="0.3">
      <c r="A96" s="172" t="s">
        <v>45</v>
      </c>
      <c r="B96" s="173"/>
      <c r="C96" s="173"/>
      <c r="D96" s="173"/>
      <c r="E96" s="173"/>
      <c r="F96" s="171"/>
      <c r="G96" s="175" t="str">
        <f>"INTERNAÇÕES - "&amp; '[1]intern. diaria convenio'!$F$42</f>
        <v>INTERNAÇÕES - 515</v>
      </c>
      <c r="H96" s="173"/>
      <c r="I96" s="176"/>
      <c r="J96" s="173"/>
      <c r="K96" s="175" t="str">
        <f>"DIÁRIAS - " &amp; '[1]intern. diaria convenio'!$F$88</f>
        <v>DIÁRIAS - 4748</v>
      </c>
      <c r="L96" s="173"/>
      <c r="M96" s="134"/>
      <c r="N96" s="135"/>
    </row>
    <row r="97" spans="1:14" ht="15" customHeight="1" thickBot="1" x14ac:dyDescent="0.3">
      <c r="A97" s="168" t="s">
        <v>2</v>
      </c>
      <c r="B97" s="174" t="s">
        <v>3</v>
      </c>
      <c r="C97" s="173"/>
      <c r="D97" s="173"/>
      <c r="E97" s="171"/>
      <c r="F97" s="170" t="s">
        <v>4</v>
      </c>
      <c r="G97" s="171"/>
      <c r="H97" s="170" t="s">
        <v>5</v>
      </c>
      <c r="I97" s="171"/>
      <c r="J97" s="170" t="s">
        <v>6</v>
      </c>
      <c r="K97" s="171"/>
      <c r="L97" s="117" t="s">
        <v>7</v>
      </c>
      <c r="M97" s="116" t="s">
        <v>8</v>
      </c>
      <c r="N97" s="118" t="s">
        <v>9</v>
      </c>
    </row>
    <row r="98" spans="1:14" ht="15.75" customHeight="1" thickBot="1" x14ac:dyDescent="0.3">
      <c r="A98" s="169"/>
      <c r="B98" s="122" t="s">
        <v>10</v>
      </c>
      <c r="C98" s="116" t="s">
        <v>11</v>
      </c>
      <c r="D98" s="122" t="s">
        <v>12</v>
      </c>
      <c r="E98" s="116" t="s">
        <v>13</v>
      </c>
      <c r="F98" s="109" t="s">
        <v>14</v>
      </c>
      <c r="G98" s="110" t="s">
        <v>15</v>
      </c>
      <c r="H98" s="109" t="s">
        <v>14</v>
      </c>
      <c r="I98" s="110" t="s">
        <v>15</v>
      </c>
      <c r="J98" s="109" t="s">
        <v>14</v>
      </c>
      <c r="K98" s="110" t="s">
        <v>15</v>
      </c>
      <c r="L98" s="116" t="s">
        <v>14</v>
      </c>
      <c r="M98" s="119" t="s">
        <v>15</v>
      </c>
      <c r="N98" s="120" t="s">
        <v>16</v>
      </c>
    </row>
    <row r="99" spans="1:14" ht="15.75" customHeight="1" x14ac:dyDescent="0.25">
      <c r="A99" s="123" t="s">
        <v>17</v>
      </c>
      <c r="B99" s="154"/>
      <c r="C99" s="155"/>
      <c r="D99" s="155"/>
      <c r="E99" s="156"/>
      <c r="F99" s="71">
        <v>31289.759999999998</v>
      </c>
      <c r="G99" s="67"/>
      <c r="H99" s="67">
        <v>32127.23</v>
      </c>
      <c r="I99" s="67"/>
      <c r="J99" s="67">
        <v>81147.990000000005</v>
      </c>
      <c r="K99" s="111"/>
      <c r="L99" s="143">
        <f t="shared" ref="L99:L124" si="12">F99+H99+J99</f>
        <v>144564.98000000001</v>
      </c>
      <c r="M99" s="142">
        <v>176858</v>
      </c>
      <c r="N99" s="78">
        <f t="shared" ref="N99:N124" si="13">M99-L99</f>
        <v>32293.01999999999</v>
      </c>
    </row>
    <row r="100" spans="1:14" ht="15.75" customHeight="1" x14ac:dyDescent="0.25">
      <c r="A100" s="124" t="s">
        <v>18</v>
      </c>
      <c r="B100" s="157"/>
      <c r="C100" s="141"/>
      <c r="D100" s="141"/>
      <c r="E100" s="150"/>
      <c r="F100" s="71"/>
      <c r="G100" s="67"/>
      <c r="H100" s="67"/>
      <c r="I100" s="67"/>
      <c r="J100" s="67"/>
      <c r="K100" s="111"/>
      <c r="L100" s="68">
        <f t="shared" si="12"/>
        <v>0</v>
      </c>
      <c r="M100" s="72">
        <v>0</v>
      </c>
      <c r="N100" s="78">
        <f t="shared" si="13"/>
        <v>0</v>
      </c>
    </row>
    <row r="101" spans="1:14" ht="15.75" customHeight="1" x14ac:dyDescent="0.25">
      <c r="A101" s="124" t="s">
        <v>19</v>
      </c>
      <c r="B101" s="157"/>
      <c r="C101" s="141"/>
      <c r="D101" s="141"/>
      <c r="E101" s="150"/>
      <c r="F101" s="71"/>
      <c r="G101" s="67"/>
      <c r="H101" s="67"/>
      <c r="I101" s="67"/>
      <c r="J101" s="67"/>
      <c r="K101" s="111"/>
      <c r="L101" s="68">
        <f t="shared" si="12"/>
        <v>0</v>
      </c>
      <c r="M101" s="72">
        <f>G101+I101+K101</f>
        <v>0</v>
      </c>
      <c r="N101" s="78">
        <f t="shared" si="13"/>
        <v>0</v>
      </c>
    </row>
    <row r="102" spans="1:14" ht="15.75" customHeight="1" x14ac:dyDescent="0.25">
      <c r="A102" s="124" t="s">
        <v>20</v>
      </c>
      <c r="B102" s="157"/>
      <c r="C102" s="141"/>
      <c r="D102" s="141"/>
      <c r="E102" s="150"/>
      <c r="F102" s="71">
        <v>853.92</v>
      </c>
      <c r="G102" s="67">
        <v>5768.08</v>
      </c>
      <c r="H102" s="67">
        <v>558.95000000000005</v>
      </c>
      <c r="I102" s="67">
        <v>450</v>
      </c>
      <c r="J102" s="67">
        <v>4250.01</v>
      </c>
      <c r="K102" s="111">
        <v>8893.64</v>
      </c>
      <c r="L102" s="68">
        <f t="shared" si="12"/>
        <v>5662.88</v>
      </c>
      <c r="M102" s="72">
        <v>38805</v>
      </c>
      <c r="N102" s="78">
        <f t="shared" si="13"/>
        <v>33142.120000000003</v>
      </c>
    </row>
    <row r="103" spans="1:14" ht="15.75" customHeight="1" x14ac:dyDescent="0.25">
      <c r="A103" s="124" t="s">
        <v>21</v>
      </c>
      <c r="B103" s="157"/>
      <c r="C103" s="141"/>
      <c r="D103" s="141"/>
      <c r="E103" s="150"/>
      <c r="F103" s="71"/>
      <c r="G103" s="67"/>
      <c r="H103" s="67"/>
      <c r="I103" s="67"/>
      <c r="J103" s="67"/>
      <c r="K103" s="111"/>
      <c r="L103" s="68">
        <f t="shared" si="12"/>
        <v>0</v>
      </c>
      <c r="M103" s="72">
        <f t="shared" ref="M103:M117" si="14">SUM(G103,I103,K103)</f>
        <v>0</v>
      </c>
      <c r="N103" s="78">
        <f t="shared" si="13"/>
        <v>0</v>
      </c>
    </row>
    <row r="104" spans="1:14" ht="15.75" customHeight="1" x14ac:dyDescent="0.25">
      <c r="A104" s="124" t="s">
        <v>22</v>
      </c>
      <c r="B104" s="157"/>
      <c r="C104" s="141"/>
      <c r="D104" s="141"/>
      <c r="E104" s="150"/>
      <c r="F104" s="71"/>
      <c r="G104" s="67"/>
      <c r="H104" s="67"/>
      <c r="I104" s="67"/>
      <c r="J104" s="67"/>
      <c r="K104" s="111"/>
      <c r="L104" s="68">
        <f t="shared" si="12"/>
        <v>0</v>
      </c>
      <c r="M104" s="72">
        <f t="shared" si="14"/>
        <v>0</v>
      </c>
      <c r="N104" s="78">
        <f t="shared" si="13"/>
        <v>0</v>
      </c>
    </row>
    <row r="105" spans="1:14" ht="15.75" customHeight="1" x14ac:dyDescent="0.25">
      <c r="A105" s="125" t="s">
        <v>23</v>
      </c>
      <c r="B105" s="157"/>
      <c r="C105" s="141"/>
      <c r="D105" s="141"/>
      <c r="E105" s="150"/>
      <c r="F105" s="71"/>
      <c r="G105" s="67"/>
      <c r="H105" s="67"/>
      <c r="I105" s="67"/>
      <c r="J105" s="67"/>
      <c r="K105" s="111"/>
      <c r="L105" s="68">
        <f t="shared" si="12"/>
        <v>0</v>
      </c>
      <c r="M105" s="72">
        <f t="shared" si="14"/>
        <v>0</v>
      </c>
      <c r="N105" s="78">
        <f t="shared" si="13"/>
        <v>0</v>
      </c>
    </row>
    <row r="106" spans="1:14" ht="15.75" customHeight="1" x14ac:dyDescent="0.25">
      <c r="A106" s="124" t="s">
        <v>24</v>
      </c>
      <c r="B106" s="157"/>
      <c r="C106" s="141"/>
      <c r="D106" s="141"/>
      <c r="E106" s="150"/>
      <c r="F106" s="71">
        <v>41734.01</v>
      </c>
      <c r="G106" s="67">
        <v>73634.100000000006</v>
      </c>
      <c r="H106" s="67">
        <v>34095.949999999997</v>
      </c>
      <c r="I106" s="67">
        <v>14306</v>
      </c>
      <c r="J106" s="67">
        <v>16776.28</v>
      </c>
      <c r="K106" s="111">
        <v>14952.71</v>
      </c>
      <c r="L106" s="68">
        <f t="shared" si="12"/>
        <v>92606.239999999991</v>
      </c>
      <c r="M106" s="72">
        <f t="shared" si="14"/>
        <v>102892.81</v>
      </c>
      <c r="N106" s="78">
        <f t="shared" si="13"/>
        <v>10286.570000000007</v>
      </c>
    </row>
    <row r="107" spans="1:14" ht="15.75" customHeight="1" x14ac:dyDescent="0.25">
      <c r="A107" s="124" t="s">
        <v>25</v>
      </c>
      <c r="B107" s="157"/>
      <c r="C107" s="141"/>
      <c r="D107" s="141"/>
      <c r="E107" s="150"/>
      <c r="F107" s="71">
        <v>449.12</v>
      </c>
      <c r="G107" s="67">
        <v>4849.8900000000003</v>
      </c>
      <c r="H107" s="67">
        <v>1117.9000000000001</v>
      </c>
      <c r="I107" s="67">
        <v>283.27999999999997</v>
      </c>
      <c r="J107" s="67">
        <v>2833.34</v>
      </c>
      <c r="K107" s="111">
        <v>1585.81</v>
      </c>
      <c r="L107" s="68">
        <f t="shared" si="12"/>
        <v>4400.3600000000006</v>
      </c>
      <c r="M107" s="72">
        <f t="shared" si="14"/>
        <v>6718.98</v>
      </c>
      <c r="N107" s="78">
        <f t="shared" si="13"/>
        <v>2318.619999999999</v>
      </c>
    </row>
    <row r="108" spans="1:14" ht="15.75" customHeight="1" x14ac:dyDescent="0.25">
      <c r="A108" s="124" t="s">
        <v>26</v>
      </c>
      <c r="B108" s="157"/>
      <c r="C108" s="141"/>
      <c r="D108" s="141"/>
      <c r="E108" s="150"/>
      <c r="G108" s="67"/>
      <c r="H108" s="67"/>
      <c r="I108" s="67"/>
      <c r="J108" s="71"/>
      <c r="K108" s="111"/>
      <c r="L108" s="68">
        <f t="shared" si="12"/>
        <v>0</v>
      </c>
      <c r="M108" s="72">
        <f t="shared" si="14"/>
        <v>0</v>
      </c>
      <c r="N108" s="78">
        <f t="shared" si="13"/>
        <v>0</v>
      </c>
    </row>
    <row r="109" spans="1:14" ht="15.75" customHeight="1" x14ac:dyDescent="0.25">
      <c r="A109" s="124" t="s">
        <v>27</v>
      </c>
      <c r="B109" s="157"/>
      <c r="C109" s="141"/>
      <c r="D109" s="141"/>
      <c r="E109" s="150"/>
      <c r="F109" s="71">
        <v>47020.6</v>
      </c>
      <c r="G109" s="67">
        <v>57419.67</v>
      </c>
      <c r="H109" s="67">
        <v>25596.75</v>
      </c>
      <c r="I109" s="67">
        <v>15777.16</v>
      </c>
      <c r="J109" s="67">
        <v>5042.82</v>
      </c>
      <c r="K109" s="111">
        <v>1282.31</v>
      </c>
      <c r="L109" s="68">
        <f t="shared" si="12"/>
        <v>77660.170000000013</v>
      </c>
      <c r="M109" s="72">
        <f t="shared" si="14"/>
        <v>74479.14</v>
      </c>
      <c r="N109" s="78">
        <f t="shared" si="13"/>
        <v>-3181.0300000000134</v>
      </c>
    </row>
    <row r="110" spans="1:14" ht="15.75" customHeight="1" x14ac:dyDescent="0.25">
      <c r="A110" s="124" t="s">
        <v>28</v>
      </c>
      <c r="B110" s="157"/>
      <c r="C110" s="141"/>
      <c r="D110" s="141"/>
      <c r="E110" s="150"/>
      <c r="F110" s="71">
        <v>14300</v>
      </c>
      <c r="G110" s="67">
        <v>3715</v>
      </c>
      <c r="H110" s="67">
        <v>0</v>
      </c>
      <c r="I110" s="67">
        <v>0</v>
      </c>
      <c r="J110" s="67">
        <v>0</v>
      </c>
      <c r="K110" s="111">
        <v>0</v>
      </c>
      <c r="L110" s="68">
        <f t="shared" si="12"/>
        <v>14300</v>
      </c>
      <c r="M110" s="72">
        <f t="shared" si="14"/>
        <v>3715</v>
      </c>
      <c r="N110" s="78">
        <f t="shared" si="13"/>
        <v>-10585</v>
      </c>
    </row>
    <row r="111" spans="1:14" ht="15.75" customHeight="1" x14ac:dyDescent="0.25">
      <c r="A111" s="124" t="s">
        <v>29</v>
      </c>
      <c r="B111" s="157"/>
      <c r="C111" s="141"/>
      <c r="D111" s="141"/>
      <c r="E111" s="150"/>
      <c r="F111" s="71">
        <v>1413750.45</v>
      </c>
      <c r="G111" s="67">
        <v>145202.76</v>
      </c>
      <c r="H111" s="67">
        <v>343048.23</v>
      </c>
      <c r="I111" s="67">
        <v>468464.05</v>
      </c>
      <c r="J111" s="67">
        <v>57229.68</v>
      </c>
      <c r="K111" s="111">
        <v>43268.93</v>
      </c>
      <c r="L111" s="68">
        <f t="shared" si="12"/>
        <v>1814028.3599999999</v>
      </c>
      <c r="M111" s="72">
        <f t="shared" si="14"/>
        <v>656935.74000000011</v>
      </c>
      <c r="N111" s="78">
        <f t="shared" si="13"/>
        <v>-1157092.6199999996</v>
      </c>
    </row>
    <row r="112" spans="1:14" ht="15.75" customHeight="1" x14ac:dyDescent="0.25">
      <c r="A112" s="124" t="s">
        <v>30</v>
      </c>
      <c r="B112" s="157"/>
      <c r="C112" s="141"/>
      <c r="D112" s="141"/>
      <c r="E112" s="150"/>
      <c r="F112" s="71"/>
      <c r="G112" s="67"/>
      <c r="H112" s="67"/>
      <c r="I112" s="67"/>
      <c r="J112" s="67"/>
      <c r="K112" s="111"/>
      <c r="L112" s="68">
        <f t="shared" si="12"/>
        <v>0</v>
      </c>
      <c r="M112" s="72">
        <f t="shared" si="14"/>
        <v>0</v>
      </c>
      <c r="N112" s="78">
        <f t="shared" si="13"/>
        <v>0</v>
      </c>
    </row>
    <row r="113" spans="1:14" ht="15.75" customHeight="1" x14ac:dyDescent="0.25">
      <c r="A113" s="124" t="s">
        <v>31</v>
      </c>
      <c r="B113" s="157"/>
      <c r="C113" s="141"/>
      <c r="D113" s="141"/>
      <c r="E113" s="150"/>
      <c r="F113" s="71"/>
      <c r="G113" s="71"/>
      <c r="H113" s="71"/>
      <c r="I113" s="71"/>
      <c r="J113" s="71"/>
      <c r="K113" s="112"/>
      <c r="L113" s="68">
        <f t="shared" si="12"/>
        <v>0</v>
      </c>
      <c r="M113" s="72">
        <f t="shared" si="14"/>
        <v>0</v>
      </c>
      <c r="N113" s="78">
        <f t="shared" si="13"/>
        <v>0</v>
      </c>
    </row>
    <row r="114" spans="1:14" ht="15.75" customHeight="1" x14ac:dyDescent="0.25">
      <c r="A114" s="124" t="s">
        <v>32</v>
      </c>
      <c r="B114" s="157"/>
      <c r="C114" s="141"/>
      <c r="D114" s="141"/>
      <c r="E114" s="150"/>
      <c r="F114" s="71">
        <v>32249.99</v>
      </c>
      <c r="G114" s="67">
        <v>86052.08</v>
      </c>
      <c r="H114" s="67">
        <v>38276.199999999997</v>
      </c>
      <c r="I114" s="67">
        <v>33730</v>
      </c>
      <c r="J114" s="67">
        <v>18150.84</v>
      </c>
      <c r="K114" s="111">
        <v>58425.54</v>
      </c>
      <c r="L114" s="68">
        <f t="shared" si="12"/>
        <v>88677.03</v>
      </c>
      <c r="M114" s="72">
        <f t="shared" si="14"/>
        <v>178207.62</v>
      </c>
      <c r="N114" s="78">
        <f t="shared" si="13"/>
        <v>89530.59</v>
      </c>
    </row>
    <row r="115" spans="1:14" ht="15.75" customHeight="1" x14ac:dyDescent="0.25">
      <c r="A115" s="125" t="s">
        <v>33</v>
      </c>
      <c r="B115" s="157"/>
      <c r="C115" s="141"/>
      <c r="D115" s="141"/>
      <c r="E115" s="150"/>
      <c r="F115" s="71"/>
      <c r="G115" s="67"/>
      <c r="H115" s="67"/>
      <c r="I115" s="67"/>
      <c r="J115" s="67"/>
      <c r="K115" s="111"/>
      <c r="L115" s="68">
        <f t="shared" si="12"/>
        <v>0</v>
      </c>
      <c r="M115" s="72">
        <f t="shared" si="14"/>
        <v>0</v>
      </c>
      <c r="N115" s="78">
        <f t="shared" si="13"/>
        <v>0</v>
      </c>
    </row>
    <row r="116" spans="1:14" ht="15.75" customHeight="1" x14ac:dyDescent="0.25">
      <c r="A116" s="124" t="s">
        <v>34</v>
      </c>
      <c r="B116" s="157"/>
      <c r="C116" s="141"/>
      <c r="D116" s="141"/>
      <c r="E116" s="150"/>
      <c r="F116" s="71"/>
      <c r="G116" s="67"/>
      <c r="H116" s="67"/>
      <c r="I116" s="67"/>
      <c r="J116" s="67"/>
      <c r="K116" s="111"/>
      <c r="L116" s="68">
        <f t="shared" si="12"/>
        <v>0</v>
      </c>
      <c r="M116" s="72">
        <f t="shared" si="14"/>
        <v>0</v>
      </c>
      <c r="N116" s="78">
        <f t="shared" si="13"/>
        <v>0</v>
      </c>
    </row>
    <row r="117" spans="1:14" ht="15.75" customHeight="1" x14ac:dyDescent="0.25">
      <c r="A117" s="124" t="s">
        <v>35</v>
      </c>
      <c r="B117" s="157"/>
      <c r="C117" s="141"/>
      <c r="D117" s="141"/>
      <c r="E117" s="150"/>
      <c r="F117" s="71">
        <v>500.58</v>
      </c>
      <c r="G117" s="67">
        <v>1576.57</v>
      </c>
      <c r="H117" s="67">
        <v>573.45000000000005</v>
      </c>
      <c r="I117" s="67">
        <v>311.3</v>
      </c>
      <c r="J117" s="67">
        <v>438.08</v>
      </c>
      <c r="K117" s="111">
        <v>491.03</v>
      </c>
      <c r="L117" s="68">
        <f t="shared" si="12"/>
        <v>1512.11</v>
      </c>
      <c r="M117" s="72">
        <f t="shared" si="14"/>
        <v>2378.8999999999996</v>
      </c>
      <c r="N117" s="78">
        <f t="shared" si="13"/>
        <v>866.78999999999974</v>
      </c>
    </row>
    <row r="118" spans="1:14" ht="15.75" customHeight="1" x14ac:dyDescent="0.25">
      <c r="A118" s="124" t="s">
        <v>36</v>
      </c>
      <c r="B118" s="157"/>
      <c r="C118" s="141"/>
      <c r="D118" s="141"/>
      <c r="E118" s="150"/>
      <c r="F118" s="71">
        <v>66749.33</v>
      </c>
      <c r="G118" s="67"/>
      <c r="H118" s="67">
        <v>263364.81</v>
      </c>
      <c r="I118" s="67"/>
      <c r="J118" s="67">
        <v>112154.87</v>
      </c>
      <c r="K118" s="111"/>
      <c r="L118" s="68">
        <f t="shared" si="12"/>
        <v>442269.01</v>
      </c>
      <c r="M118" s="72">
        <v>400000</v>
      </c>
      <c r="N118" s="78">
        <f t="shared" si="13"/>
        <v>-42269.010000000009</v>
      </c>
    </row>
    <row r="119" spans="1:14" ht="15.75" customHeight="1" x14ac:dyDescent="0.25">
      <c r="A119" s="125" t="s">
        <v>37</v>
      </c>
      <c r="B119" s="157"/>
      <c r="C119" s="141"/>
      <c r="D119" s="141"/>
      <c r="E119" s="150"/>
      <c r="F119" s="108"/>
      <c r="G119" s="67"/>
      <c r="H119" s="67"/>
      <c r="I119" s="67"/>
      <c r="J119" s="67"/>
      <c r="K119" s="111"/>
      <c r="L119" s="68">
        <f t="shared" si="12"/>
        <v>0</v>
      </c>
      <c r="M119" s="145">
        <f>G119+I119+K119</f>
        <v>0</v>
      </c>
      <c r="N119" s="78">
        <f t="shared" si="13"/>
        <v>0</v>
      </c>
    </row>
    <row r="120" spans="1:14" ht="15.75" customHeight="1" x14ac:dyDescent="0.25">
      <c r="A120" s="124" t="s">
        <v>38</v>
      </c>
      <c r="B120" s="157"/>
      <c r="C120" s="141"/>
      <c r="D120" s="141"/>
      <c r="E120" s="150"/>
      <c r="F120" s="71">
        <v>4829.8</v>
      </c>
      <c r="G120" s="67">
        <v>15481.65</v>
      </c>
      <c r="H120" s="71">
        <v>9748.65</v>
      </c>
      <c r="I120" s="67">
        <v>5766.6</v>
      </c>
      <c r="J120" s="67">
        <v>2978.2</v>
      </c>
      <c r="K120" s="111">
        <v>2160.48</v>
      </c>
      <c r="L120" s="68">
        <f t="shared" si="12"/>
        <v>17556.650000000001</v>
      </c>
      <c r="M120" s="72">
        <v>653.4</v>
      </c>
      <c r="N120" s="78">
        <f t="shared" si="13"/>
        <v>-16903.25</v>
      </c>
    </row>
    <row r="121" spans="1:14" ht="15.75" customHeight="1" x14ac:dyDescent="0.25">
      <c r="A121" s="124" t="s">
        <v>39</v>
      </c>
      <c r="B121" s="157"/>
      <c r="C121" s="141"/>
      <c r="D121" s="141"/>
      <c r="E121" s="150"/>
      <c r="F121" s="71"/>
      <c r="G121" s="67"/>
      <c r="H121" s="67"/>
      <c r="I121" s="67"/>
      <c r="J121" s="67"/>
      <c r="K121" s="111"/>
      <c r="L121" s="68">
        <f t="shared" si="12"/>
        <v>0</v>
      </c>
      <c r="M121" s="72">
        <f>G121+I121+K121</f>
        <v>0</v>
      </c>
      <c r="N121" s="78">
        <f t="shared" si="13"/>
        <v>0</v>
      </c>
    </row>
    <row r="122" spans="1:14" ht="16.5" customHeight="1" x14ac:dyDescent="0.25">
      <c r="A122" s="124" t="s">
        <v>40</v>
      </c>
      <c r="B122" s="157"/>
      <c r="C122" s="141"/>
      <c r="D122" s="141"/>
      <c r="E122" s="150"/>
      <c r="F122" s="71"/>
      <c r="G122" s="67"/>
      <c r="H122" s="67">
        <v>1649597.92</v>
      </c>
      <c r="I122" s="67"/>
      <c r="J122" s="67"/>
      <c r="K122" s="111"/>
      <c r="L122" s="68">
        <f t="shared" si="12"/>
        <v>1649597.92</v>
      </c>
      <c r="M122" s="72">
        <v>2333279.16</v>
      </c>
      <c r="N122" s="78">
        <f t="shared" si="13"/>
        <v>683681.24000000022</v>
      </c>
    </row>
    <row r="123" spans="1:14" ht="15.75" customHeight="1" x14ac:dyDescent="0.25">
      <c r="A123" s="124" t="s">
        <v>41</v>
      </c>
      <c r="B123" s="157"/>
      <c r="C123" s="141"/>
      <c r="D123" s="141"/>
      <c r="E123" s="150"/>
      <c r="F123" s="71"/>
      <c r="G123" s="67"/>
      <c r="H123" s="67"/>
      <c r="I123" s="67"/>
      <c r="J123" s="67"/>
      <c r="K123" s="111"/>
      <c r="L123" s="68">
        <f t="shared" si="12"/>
        <v>0</v>
      </c>
      <c r="M123" s="145">
        <f>G123+I123+K123</f>
        <v>0</v>
      </c>
      <c r="N123" s="78">
        <f t="shared" si="13"/>
        <v>0</v>
      </c>
    </row>
    <row r="124" spans="1:14" ht="16.5" customHeight="1" thickBot="1" x14ac:dyDescent="0.3">
      <c r="A124" s="126" t="s">
        <v>42</v>
      </c>
      <c r="B124" s="158"/>
      <c r="C124" s="159"/>
      <c r="D124" s="159"/>
      <c r="E124" s="160"/>
      <c r="F124" s="71">
        <v>462581.1</v>
      </c>
      <c r="G124" s="67">
        <v>103428.43</v>
      </c>
      <c r="H124" s="69">
        <v>297991.8</v>
      </c>
      <c r="I124" s="69">
        <v>307316.08</v>
      </c>
      <c r="J124" s="69">
        <v>26474.9</v>
      </c>
      <c r="K124" s="113">
        <v>52925.72</v>
      </c>
      <c r="L124" s="74">
        <f t="shared" si="12"/>
        <v>787047.79999999993</v>
      </c>
      <c r="M124" s="73">
        <f>SUM(G124,I124,K124)</f>
        <v>463670.23</v>
      </c>
      <c r="N124" s="80">
        <f t="shared" si="13"/>
        <v>-323377.56999999995</v>
      </c>
    </row>
    <row r="125" spans="1:14" ht="30" customHeight="1" thickBot="1" x14ac:dyDescent="0.3">
      <c r="A125" s="121" t="s">
        <v>9</v>
      </c>
      <c r="B125" s="127">
        <f t="shared" ref="B125:N125" si="15">SUM(B99:B124)</f>
        <v>0</v>
      </c>
      <c r="C125" s="127">
        <f t="shared" si="15"/>
        <v>0</v>
      </c>
      <c r="D125" s="127">
        <f t="shared" si="15"/>
        <v>0</v>
      </c>
      <c r="E125" s="127">
        <f t="shared" si="15"/>
        <v>0</v>
      </c>
      <c r="F125" s="85">
        <f t="shared" si="15"/>
        <v>2116308.66</v>
      </c>
      <c r="G125" s="85">
        <f t="shared" si="15"/>
        <v>497128.23000000004</v>
      </c>
      <c r="H125" s="85">
        <f t="shared" si="15"/>
        <v>2696097.84</v>
      </c>
      <c r="I125" s="85">
        <f t="shared" si="15"/>
        <v>846404.47</v>
      </c>
      <c r="J125" s="85">
        <f t="shared" si="15"/>
        <v>327477.01</v>
      </c>
      <c r="K125" s="85">
        <f t="shared" si="15"/>
        <v>183986.16999999998</v>
      </c>
      <c r="L125" s="128">
        <f t="shared" si="15"/>
        <v>5139883.5099999988</v>
      </c>
      <c r="M125" s="114">
        <f t="shared" si="15"/>
        <v>4438593.9800000004</v>
      </c>
      <c r="N125" s="129">
        <f t="shared" si="15"/>
        <v>-701289.52999999945</v>
      </c>
    </row>
    <row r="126" spans="1:14" ht="15.75" customHeight="1" thickBot="1" x14ac:dyDescent="0.3"/>
    <row r="127" spans="1:14" ht="30" customHeight="1" thickBot="1" x14ac:dyDescent="0.3">
      <c r="A127" s="172" t="s">
        <v>46</v>
      </c>
      <c r="B127" s="173"/>
      <c r="C127" s="173"/>
      <c r="D127" s="173"/>
      <c r="E127" s="173"/>
      <c r="F127" s="171"/>
      <c r="G127" s="175" t="str">
        <f>"INTERNAÇÕES - "&amp; '[1]intern. diaria convenio'!$G$42</f>
        <v>INTERNAÇÕES - 581</v>
      </c>
      <c r="H127" s="173"/>
      <c r="I127" s="176"/>
      <c r="J127" s="173"/>
      <c r="K127" s="175" t="str">
        <f>"DIÁRIAS - " &amp; '[1]intern. diaria convenio'!$G$88</f>
        <v>DIÁRIAS - 4971</v>
      </c>
      <c r="L127" s="173"/>
      <c r="M127" s="134"/>
      <c r="N127" s="135"/>
    </row>
    <row r="128" spans="1:14" ht="15" customHeight="1" thickBot="1" x14ac:dyDescent="0.3">
      <c r="A128" s="168" t="s">
        <v>2</v>
      </c>
      <c r="B128" s="174" t="s">
        <v>3</v>
      </c>
      <c r="C128" s="173"/>
      <c r="D128" s="173"/>
      <c r="E128" s="171"/>
      <c r="F128" s="170" t="s">
        <v>4</v>
      </c>
      <c r="G128" s="171"/>
      <c r="H128" s="170" t="s">
        <v>5</v>
      </c>
      <c r="I128" s="171"/>
      <c r="J128" s="170" t="s">
        <v>6</v>
      </c>
      <c r="K128" s="171"/>
      <c r="L128" s="117" t="s">
        <v>7</v>
      </c>
      <c r="M128" s="116" t="s">
        <v>8</v>
      </c>
      <c r="N128" s="118" t="s">
        <v>9</v>
      </c>
    </row>
    <row r="129" spans="1:14" ht="15.75" customHeight="1" thickBot="1" x14ac:dyDescent="0.3">
      <c r="A129" s="169"/>
      <c r="B129" s="122" t="s">
        <v>10</v>
      </c>
      <c r="C129" s="116" t="s">
        <v>11</v>
      </c>
      <c r="D129" s="122" t="s">
        <v>12</v>
      </c>
      <c r="E129" s="116" t="s">
        <v>13</v>
      </c>
      <c r="F129" s="109" t="s">
        <v>14</v>
      </c>
      <c r="G129" s="110" t="s">
        <v>15</v>
      </c>
      <c r="H129" s="109" t="s">
        <v>14</v>
      </c>
      <c r="I129" s="110" t="s">
        <v>15</v>
      </c>
      <c r="J129" s="109" t="s">
        <v>14</v>
      </c>
      <c r="K129" s="110" t="s">
        <v>15</v>
      </c>
      <c r="L129" s="116" t="s">
        <v>14</v>
      </c>
      <c r="M129" s="119" t="s">
        <v>15</v>
      </c>
      <c r="N129" s="120" t="s">
        <v>16</v>
      </c>
    </row>
    <row r="130" spans="1:14" ht="15.75" customHeight="1" x14ac:dyDescent="0.25">
      <c r="A130" s="123" t="s">
        <v>17</v>
      </c>
      <c r="B130" s="154"/>
      <c r="C130" s="155"/>
      <c r="D130" s="155"/>
      <c r="E130" s="156"/>
      <c r="F130" s="71">
        <v>21247.55</v>
      </c>
      <c r="G130" s="67"/>
      <c r="H130" s="67">
        <v>59149.54</v>
      </c>
      <c r="I130" s="67"/>
      <c r="J130" s="67">
        <v>86222.01</v>
      </c>
      <c r="K130" s="111"/>
      <c r="L130" s="143">
        <f t="shared" ref="L130:L155" si="16">F130+H130+J130</f>
        <v>166619.09999999998</v>
      </c>
      <c r="M130" s="142">
        <v>248230.9</v>
      </c>
      <c r="N130" s="78">
        <f t="shared" ref="N130:N155" si="17">M130-L130</f>
        <v>81611.800000000017</v>
      </c>
    </row>
    <row r="131" spans="1:14" ht="15.75" customHeight="1" x14ac:dyDescent="0.25">
      <c r="A131" s="124" t="s">
        <v>18</v>
      </c>
      <c r="B131" s="157"/>
      <c r="C131" s="141"/>
      <c r="D131" s="141"/>
      <c r="E131" s="150"/>
      <c r="F131" s="71">
        <v>74753.16</v>
      </c>
      <c r="G131" s="67"/>
      <c r="H131" s="67">
        <v>6579.88</v>
      </c>
      <c r="I131" s="67"/>
      <c r="J131" s="67">
        <v>1108.71</v>
      </c>
      <c r="K131" s="111"/>
      <c r="L131" s="68">
        <f t="shared" si="16"/>
        <v>82441.750000000015</v>
      </c>
      <c r="M131" s="72">
        <v>174759.02</v>
      </c>
      <c r="N131" s="78">
        <f t="shared" si="17"/>
        <v>92317.269999999975</v>
      </c>
    </row>
    <row r="132" spans="1:14" ht="15.75" customHeight="1" x14ac:dyDescent="0.25">
      <c r="A132" s="124" t="s">
        <v>19</v>
      </c>
      <c r="B132" s="157"/>
      <c r="C132" s="141"/>
      <c r="D132" s="141"/>
      <c r="E132" s="150"/>
      <c r="F132" s="71"/>
      <c r="G132" s="67"/>
      <c r="H132" s="67"/>
      <c r="I132" s="67"/>
      <c r="J132" s="67"/>
      <c r="K132" s="111"/>
      <c r="L132" s="68">
        <f t="shared" si="16"/>
        <v>0</v>
      </c>
      <c r="M132" s="72">
        <f>G132+I132+K132</f>
        <v>0</v>
      </c>
      <c r="N132" s="78">
        <f t="shared" si="17"/>
        <v>0</v>
      </c>
    </row>
    <row r="133" spans="1:14" ht="15.75" customHeight="1" x14ac:dyDescent="0.25">
      <c r="A133" s="124" t="s">
        <v>20</v>
      </c>
      <c r="B133" s="157"/>
      <c r="C133" s="141"/>
      <c r="D133" s="141"/>
      <c r="E133" s="150"/>
      <c r="F133" s="71">
        <v>3393.34</v>
      </c>
      <c r="G133" s="67">
        <v>22652.57</v>
      </c>
      <c r="H133" s="67">
        <v>7266.35</v>
      </c>
      <c r="I133" s="67">
        <v>6150</v>
      </c>
      <c r="J133" s="67">
        <v>19361.13</v>
      </c>
      <c r="K133" s="111">
        <v>39277.22</v>
      </c>
      <c r="L133" s="68">
        <f t="shared" si="16"/>
        <v>30020.82</v>
      </c>
      <c r="M133" s="72">
        <v>37635</v>
      </c>
      <c r="N133" s="78">
        <f t="shared" si="17"/>
        <v>7614.18</v>
      </c>
    </row>
    <row r="134" spans="1:14" ht="15.75" customHeight="1" x14ac:dyDescent="0.25">
      <c r="A134" s="124" t="s">
        <v>21</v>
      </c>
      <c r="B134" s="157"/>
      <c r="C134" s="141"/>
      <c r="D134" s="141"/>
      <c r="E134" s="150"/>
      <c r="F134" s="71">
        <v>6179.83</v>
      </c>
      <c r="G134" s="67">
        <v>13720.48</v>
      </c>
      <c r="H134" s="67">
        <v>3912.65</v>
      </c>
      <c r="I134" s="67">
        <v>3500</v>
      </c>
      <c r="J134" s="67">
        <v>769.57</v>
      </c>
      <c r="K134" s="111">
        <v>973.38</v>
      </c>
      <c r="L134" s="68">
        <f t="shared" si="16"/>
        <v>10862.05</v>
      </c>
      <c r="M134" s="72">
        <f t="shared" ref="M134:M148" si="18">SUM(G134,I134,K134)</f>
        <v>18193.86</v>
      </c>
      <c r="N134" s="78">
        <f t="shared" si="17"/>
        <v>7331.8100000000013</v>
      </c>
    </row>
    <row r="135" spans="1:14" ht="15.75" customHeight="1" x14ac:dyDescent="0.25">
      <c r="A135" s="124" t="s">
        <v>22</v>
      </c>
      <c r="B135" s="157"/>
      <c r="C135" s="141"/>
      <c r="D135" s="141"/>
      <c r="E135" s="150"/>
      <c r="F135" s="71"/>
      <c r="G135" s="67"/>
      <c r="H135" s="67"/>
      <c r="I135" s="67"/>
      <c r="J135" s="67"/>
      <c r="K135" s="111"/>
      <c r="L135" s="68">
        <f t="shared" si="16"/>
        <v>0</v>
      </c>
      <c r="M135" s="72">
        <f t="shared" si="18"/>
        <v>0</v>
      </c>
      <c r="N135" s="78">
        <f t="shared" si="17"/>
        <v>0</v>
      </c>
    </row>
    <row r="136" spans="1:14" ht="15.75" customHeight="1" x14ac:dyDescent="0.25">
      <c r="A136" s="125" t="s">
        <v>23</v>
      </c>
      <c r="B136" s="157"/>
      <c r="C136" s="141"/>
      <c r="D136" s="141"/>
      <c r="E136" s="150"/>
      <c r="F136" s="71"/>
      <c r="G136" s="67"/>
      <c r="H136" s="67"/>
      <c r="I136" s="67"/>
      <c r="J136" s="67"/>
      <c r="K136" s="111"/>
      <c r="L136" s="68">
        <f t="shared" si="16"/>
        <v>0</v>
      </c>
      <c r="M136" s="72">
        <f t="shared" si="18"/>
        <v>0</v>
      </c>
      <c r="N136" s="78">
        <f t="shared" si="17"/>
        <v>0</v>
      </c>
    </row>
    <row r="137" spans="1:14" ht="15.75" customHeight="1" x14ac:dyDescent="0.25">
      <c r="A137" s="124" t="s">
        <v>24</v>
      </c>
      <c r="B137" s="157"/>
      <c r="C137" s="141"/>
      <c r="D137" s="141"/>
      <c r="E137" s="150"/>
      <c r="F137" s="71">
        <v>189848.83</v>
      </c>
      <c r="G137" s="67">
        <v>103593.43</v>
      </c>
      <c r="H137" s="67">
        <v>55818.25</v>
      </c>
      <c r="I137" s="67">
        <v>24019.56</v>
      </c>
      <c r="J137" s="67">
        <v>26794.53</v>
      </c>
      <c r="K137" s="111">
        <v>17955.52</v>
      </c>
      <c r="L137" s="68">
        <f t="shared" si="16"/>
        <v>272461.61</v>
      </c>
      <c r="M137" s="72">
        <f t="shared" si="18"/>
        <v>145568.50999999998</v>
      </c>
      <c r="N137" s="78">
        <f t="shared" si="17"/>
        <v>-126893.1</v>
      </c>
    </row>
    <row r="138" spans="1:14" ht="15.75" customHeight="1" x14ac:dyDescent="0.25">
      <c r="A138" s="124" t="s">
        <v>25</v>
      </c>
      <c r="B138" s="157"/>
      <c r="C138" s="141"/>
      <c r="D138" s="141"/>
      <c r="E138" s="150"/>
      <c r="F138" s="71">
        <v>14916.75</v>
      </c>
      <c r="G138" s="67">
        <v>100947.82</v>
      </c>
      <c r="H138" s="67">
        <v>34488.620000000003</v>
      </c>
      <c r="I138" s="67">
        <v>29561.09</v>
      </c>
      <c r="J138" s="67">
        <v>27888.35</v>
      </c>
      <c r="K138" s="111">
        <v>9705.7900000000009</v>
      </c>
      <c r="L138" s="68">
        <f t="shared" si="16"/>
        <v>77293.72</v>
      </c>
      <c r="M138" s="72">
        <f t="shared" si="18"/>
        <v>140214.70000000001</v>
      </c>
      <c r="N138" s="78">
        <f t="shared" si="17"/>
        <v>62920.98000000001</v>
      </c>
    </row>
    <row r="139" spans="1:14" ht="15.75" customHeight="1" x14ac:dyDescent="0.25">
      <c r="A139" s="124" t="s">
        <v>26</v>
      </c>
      <c r="B139" s="157"/>
      <c r="C139" s="141"/>
      <c r="D139" s="141"/>
      <c r="E139" s="150"/>
      <c r="G139" s="67"/>
      <c r="H139" s="67"/>
      <c r="I139" s="67"/>
      <c r="J139" s="71"/>
      <c r="K139" s="111"/>
      <c r="L139" s="68">
        <f t="shared" si="16"/>
        <v>0</v>
      </c>
      <c r="M139" s="72">
        <f t="shared" si="18"/>
        <v>0</v>
      </c>
      <c r="N139" s="78">
        <f t="shared" si="17"/>
        <v>0</v>
      </c>
    </row>
    <row r="140" spans="1:14" ht="15.75" customHeight="1" x14ac:dyDescent="0.25">
      <c r="A140" s="124" t="s">
        <v>27</v>
      </c>
      <c r="B140" s="157"/>
      <c r="C140" s="141"/>
      <c r="D140" s="141"/>
      <c r="E140" s="150"/>
      <c r="F140" s="71">
        <v>877414.25</v>
      </c>
      <c r="G140" s="67">
        <v>78411.67</v>
      </c>
      <c r="H140" s="67">
        <v>29627</v>
      </c>
      <c r="I140" s="67">
        <v>17607.240000000002</v>
      </c>
      <c r="J140" s="67">
        <v>22805</v>
      </c>
      <c r="K140" s="111">
        <v>6814.77</v>
      </c>
      <c r="L140" s="68">
        <f t="shared" si="16"/>
        <v>929846.25</v>
      </c>
      <c r="M140" s="72">
        <f t="shared" si="18"/>
        <v>102833.68000000001</v>
      </c>
      <c r="N140" s="78">
        <f t="shared" si="17"/>
        <v>-827012.57</v>
      </c>
    </row>
    <row r="141" spans="1:14" ht="15.75" customHeight="1" x14ac:dyDescent="0.25">
      <c r="A141" s="124" t="s">
        <v>28</v>
      </c>
      <c r="B141" s="157"/>
      <c r="C141" s="141"/>
      <c r="D141" s="141"/>
      <c r="E141" s="150"/>
      <c r="F141" s="71">
        <v>4486</v>
      </c>
      <c r="G141" s="67">
        <v>3062.5</v>
      </c>
      <c r="H141" s="67">
        <v>0</v>
      </c>
      <c r="I141" s="67">
        <v>0</v>
      </c>
      <c r="J141" s="67">
        <v>0</v>
      </c>
      <c r="K141" s="111">
        <v>0</v>
      </c>
      <c r="L141" s="68">
        <f t="shared" si="16"/>
        <v>4486</v>
      </c>
      <c r="M141" s="72">
        <f t="shared" si="18"/>
        <v>3062.5</v>
      </c>
      <c r="N141" s="78">
        <f t="shared" si="17"/>
        <v>-1423.5</v>
      </c>
    </row>
    <row r="142" spans="1:14" ht="15.75" customHeight="1" x14ac:dyDescent="0.25">
      <c r="A142" s="124" t="s">
        <v>29</v>
      </c>
      <c r="B142" s="157"/>
      <c r="C142" s="141"/>
      <c r="D142" s="141"/>
      <c r="E142" s="150"/>
      <c r="F142" s="71">
        <v>1317970.93</v>
      </c>
      <c r="G142" s="67">
        <v>137213.29</v>
      </c>
      <c r="H142" s="67">
        <v>389939.27</v>
      </c>
      <c r="I142" s="67">
        <v>536530.80000000005</v>
      </c>
      <c r="J142" s="67">
        <v>40832.559999999998</v>
      </c>
      <c r="K142" s="111">
        <v>34752.29</v>
      </c>
      <c r="L142" s="68">
        <f t="shared" si="16"/>
        <v>1748742.76</v>
      </c>
      <c r="M142" s="72">
        <f t="shared" si="18"/>
        <v>708496.38000000012</v>
      </c>
      <c r="N142" s="78">
        <f t="shared" si="17"/>
        <v>-1040246.3799999999</v>
      </c>
    </row>
    <row r="143" spans="1:14" ht="15.75" customHeight="1" x14ac:dyDescent="0.25">
      <c r="A143" s="124" t="s">
        <v>30</v>
      </c>
      <c r="B143" s="157"/>
      <c r="C143" s="141"/>
      <c r="D143" s="141"/>
      <c r="E143" s="150"/>
      <c r="F143" s="71"/>
      <c r="G143" s="67"/>
      <c r="H143" s="67"/>
      <c r="I143" s="67"/>
      <c r="J143" s="67"/>
      <c r="K143" s="111"/>
      <c r="L143" s="68">
        <f t="shared" si="16"/>
        <v>0</v>
      </c>
      <c r="M143" s="72">
        <f t="shared" si="18"/>
        <v>0</v>
      </c>
      <c r="N143" s="78">
        <f t="shared" si="17"/>
        <v>0</v>
      </c>
    </row>
    <row r="144" spans="1:14" ht="15.75" customHeight="1" x14ac:dyDescent="0.25">
      <c r="A144" s="124" t="s">
        <v>31</v>
      </c>
      <c r="B144" s="157"/>
      <c r="C144" s="141"/>
      <c r="D144" s="141"/>
      <c r="E144" s="150"/>
      <c r="F144" s="71"/>
      <c r="G144" s="71"/>
      <c r="H144" s="71"/>
      <c r="I144" s="71"/>
      <c r="J144" s="71"/>
      <c r="K144" s="112"/>
      <c r="L144" s="68">
        <f t="shared" si="16"/>
        <v>0</v>
      </c>
      <c r="M144" s="72">
        <f t="shared" si="18"/>
        <v>0</v>
      </c>
      <c r="N144" s="78">
        <f t="shared" si="17"/>
        <v>0</v>
      </c>
    </row>
    <row r="145" spans="1:14" ht="15.75" customHeight="1" x14ac:dyDescent="0.25">
      <c r="A145" s="124" t="s">
        <v>32</v>
      </c>
      <c r="B145" s="157"/>
      <c r="C145" s="141"/>
      <c r="D145" s="141"/>
      <c r="E145" s="150"/>
      <c r="F145" s="71">
        <v>2831835.23</v>
      </c>
      <c r="G145" s="67">
        <v>90222.88</v>
      </c>
      <c r="H145" s="67">
        <v>67866.59</v>
      </c>
      <c r="I145" s="67">
        <v>59523</v>
      </c>
      <c r="J145" s="67">
        <v>28561.22</v>
      </c>
      <c r="K145" s="111">
        <v>48687.83</v>
      </c>
      <c r="L145" s="68">
        <f t="shared" si="16"/>
        <v>2928263.04</v>
      </c>
      <c r="M145" s="72">
        <f t="shared" si="18"/>
        <v>198433.71000000002</v>
      </c>
      <c r="N145" s="78">
        <f t="shared" si="17"/>
        <v>-2729829.33</v>
      </c>
    </row>
    <row r="146" spans="1:14" ht="15.75" customHeight="1" x14ac:dyDescent="0.25">
      <c r="A146" s="125" t="s">
        <v>33</v>
      </c>
      <c r="B146" s="157"/>
      <c r="C146" s="141"/>
      <c r="D146" s="141"/>
      <c r="E146" s="150"/>
      <c r="F146" s="71"/>
      <c r="G146" s="67"/>
      <c r="H146" s="67"/>
      <c r="I146" s="67"/>
      <c r="J146" s="67"/>
      <c r="K146" s="111"/>
      <c r="L146" s="68">
        <f t="shared" si="16"/>
        <v>0</v>
      </c>
      <c r="M146" s="72">
        <f t="shared" si="18"/>
        <v>0</v>
      </c>
      <c r="N146" s="78">
        <f t="shared" si="17"/>
        <v>0</v>
      </c>
    </row>
    <row r="147" spans="1:14" ht="15.75" customHeight="1" x14ac:dyDescent="0.25">
      <c r="A147" s="124" t="s">
        <v>34</v>
      </c>
      <c r="B147" s="157"/>
      <c r="C147" s="141"/>
      <c r="D147" s="141"/>
      <c r="E147" s="150"/>
      <c r="F147" s="71"/>
      <c r="G147" s="67"/>
      <c r="H147" s="67"/>
      <c r="I147" s="67"/>
      <c r="J147" s="67"/>
      <c r="K147" s="111"/>
      <c r="L147" s="68">
        <f t="shared" si="16"/>
        <v>0</v>
      </c>
      <c r="M147" s="72">
        <f t="shared" si="18"/>
        <v>0</v>
      </c>
      <c r="N147" s="78">
        <f t="shared" si="17"/>
        <v>0</v>
      </c>
    </row>
    <row r="148" spans="1:14" ht="15.75" customHeight="1" x14ac:dyDescent="0.25">
      <c r="A148" s="124" t="s">
        <v>35</v>
      </c>
      <c r="B148" s="157"/>
      <c r="C148" s="141"/>
      <c r="D148" s="141"/>
      <c r="E148" s="150"/>
      <c r="F148" s="71"/>
      <c r="G148" s="67"/>
      <c r="H148" s="67"/>
      <c r="I148" s="67"/>
      <c r="J148" s="67"/>
      <c r="K148" s="111"/>
      <c r="L148" s="68">
        <f t="shared" si="16"/>
        <v>0</v>
      </c>
      <c r="M148" s="72">
        <f t="shared" si="18"/>
        <v>0</v>
      </c>
      <c r="N148" s="78">
        <f t="shared" si="17"/>
        <v>0</v>
      </c>
    </row>
    <row r="149" spans="1:14" ht="15.75" customHeight="1" x14ac:dyDescent="0.25">
      <c r="A149" s="124" t="s">
        <v>36</v>
      </c>
      <c r="B149" s="157"/>
      <c r="C149" s="141"/>
      <c r="D149" s="141"/>
      <c r="E149" s="150"/>
      <c r="F149" s="71">
        <v>42147.91</v>
      </c>
      <c r="G149" s="67"/>
      <c r="H149" s="67">
        <v>236042.18</v>
      </c>
      <c r="I149" s="67"/>
      <c r="J149" s="67">
        <v>78151.61</v>
      </c>
      <c r="K149" s="111"/>
      <c r="L149" s="68">
        <f t="shared" si="16"/>
        <v>356341.69999999995</v>
      </c>
      <c r="M149" s="72">
        <v>400000</v>
      </c>
      <c r="N149" s="78">
        <f t="shared" si="17"/>
        <v>43658.300000000047</v>
      </c>
    </row>
    <row r="150" spans="1:14" ht="15.75" customHeight="1" x14ac:dyDescent="0.25">
      <c r="A150" s="125" t="s">
        <v>37</v>
      </c>
      <c r="B150" s="157"/>
      <c r="C150" s="141"/>
      <c r="D150" s="141"/>
      <c r="E150" s="150"/>
      <c r="F150" s="108"/>
      <c r="G150" s="67"/>
      <c r="H150" s="67"/>
      <c r="I150" s="67"/>
      <c r="J150" s="67"/>
      <c r="K150" s="111"/>
      <c r="L150" s="68">
        <f t="shared" si="16"/>
        <v>0</v>
      </c>
      <c r="M150" s="145">
        <f>G150+I150+K150</f>
        <v>0</v>
      </c>
      <c r="N150" s="78">
        <f t="shared" si="17"/>
        <v>0</v>
      </c>
    </row>
    <row r="151" spans="1:14" ht="15.75" customHeight="1" x14ac:dyDescent="0.25">
      <c r="A151" s="124" t="s">
        <v>38</v>
      </c>
      <c r="B151" s="157"/>
      <c r="C151" s="141"/>
      <c r="D151" s="141"/>
      <c r="E151" s="150"/>
      <c r="F151" s="71">
        <v>4797.47</v>
      </c>
      <c r="G151" s="67">
        <v>39140.78</v>
      </c>
      <c r="H151" s="71">
        <v>18923.849999999999</v>
      </c>
      <c r="I151" s="67">
        <v>10303.299999999999</v>
      </c>
      <c r="J151" s="67">
        <v>438.08</v>
      </c>
      <c r="K151" s="111">
        <v>175</v>
      </c>
      <c r="L151" s="68">
        <f t="shared" si="16"/>
        <v>24159.4</v>
      </c>
      <c r="M151" s="72">
        <v>1789.8</v>
      </c>
      <c r="N151" s="78">
        <f t="shared" si="17"/>
        <v>-22369.600000000002</v>
      </c>
    </row>
    <row r="152" spans="1:14" ht="15.75" customHeight="1" x14ac:dyDescent="0.25">
      <c r="A152" s="124" t="s">
        <v>39</v>
      </c>
      <c r="B152" s="157"/>
      <c r="C152" s="141"/>
      <c r="D152" s="141"/>
      <c r="E152" s="150"/>
      <c r="F152" s="71">
        <v>3205.6</v>
      </c>
      <c r="G152" s="67">
        <v>49445.38</v>
      </c>
      <c r="H152" s="67">
        <v>16201.65</v>
      </c>
      <c r="I152" s="67">
        <v>8228.86</v>
      </c>
      <c r="J152" s="67">
        <v>14204.16</v>
      </c>
      <c r="K152" s="111">
        <v>3449.67</v>
      </c>
      <c r="L152" s="68">
        <f t="shared" si="16"/>
        <v>33611.410000000003</v>
      </c>
      <c r="M152" s="72">
        <f>G152+I152+K152</f>
        <v>61123.909999999996</v>
      </c>
      <c r="N152" s="78">
        <f t="shared" si="17"/>
        <v>27512.499999999993</v>
      </c>
    </row>
    <row r="153" spans="1:14" ht="15.75" customHeight="1" x14ac:dyDescent="0.25">
      <c r="A153" s="124" t="s">
        <v>40</v>
      </c>
      <c r="B153" s="157"/>
      <c r="C153" s="141"/>
      <c r="D153" s="141"/>
      <c r="E153" s="150"/>
      <c r="F153" s="71"/>
      <c r="G153" s="67"/>
      <c r="H153" s="67">
        <v>670834.43000000005</v>
      </c>
      <c r="I153" s="67"/>
      <c r="J153" s="67"/>
      <c r="K153" s="111"/>
      <c r="L153" s="68">
        <f t="shared" si="16"/>
        <v>670834.43000000005</v>
      </c>
      <c r="M153" s="72">
        <v>2361426.9900000002</v>
      </c>
      <c r="N153" s="78">
        <f t="shared" si="17"/>
        <v>1690592.56</v>
      </c>
    </row>
    <row r="154" spans="1:14" ht="15.75" customHeight="1" x14ac:dyDescent="0.25">
      <c r="A154" s="124" t="s">
        <v>41</v>
      </c>
      <c r="B154" s="157"/>
      <c r="C154" s="141"/>
      <c r="D154" s="141"/>
      <c r="E154" s="150"/>
      <c r="F154" s="71"/>
      <c r="G154" s="67"/>
      <c r="H154" s="67"/>
      <c r="I154" s="67"/>
      <c r="J154" s="67"/>
      <c r="K154" s="111"/>
      <c r="L154" s="68">
        <f t="shared" si="16"/>
        <v>0</v>
      </c>
      <c r="M154" s="145">
        <f>G154+I154+K154</f>
        <v>0</v>
      </c>
      <c r="N154" s="78">
        <f t="shared" si="17"/>
        <v>0</v>
      </c>
    </row>
    <row r="155" spans="1:14" ht="16.5" customHeight="1" thickBot="1" x14ac:dyDescent="0.3">
      <c r="A155" s="126" t="s">
        <v>42</v>
      </c>
      <c r="B155" s="158"/>
      <c r="C155" s="159"/>
      <c r="D155" s="159"/>
      <c r="E155" s="160"/>
      <c r="F155" s="71">
        <v>407200</v>
      </c>
      <c r="G155" s="67">
        <v>73232.03</v>
      </c>
      <c r="H155" s="69">
        <v>219534.48</v>
      </c>
      <c r="I155" s="69">
        <v>225164.38</v>
      </c>
      <c r="J155" s="69">
        <v>27628.95</v>
      </c>
      <c r="K155" s="113">
        <v>44173.39</v>
      </c>
      <c r="L155" s="74">
        <f t="shared" si="16"/>
        <v>654363.42999999993</v>
      </c>
      <c r="M155" s="73">
        <f>SUM(G155,I155,K155)</f>
        <v>342569.80000000005</v>
      </c>
      <c r="N155" s="80">
        <f t="shared" si="17"/>
        <v>-311793.62999999989</v>
      </c>
    </row>
    <row r="156" spans="1:14" ht="30" customHeight="1" thickBot="1" x14ac:dyDescent="0.3">
      <c r="A156" s="121" t="s">
        <v>9</v>
      </c>
      <c r="B156" s="127">
        <f t="shared" ref="B156:N156" si="19">SUM(B130:B155)</f>
        <v>0</v>
      </c>
      <c r="C156" s="127">
        <f t="shared" si="19"/>
        <v>0</v>
      </c>
      <c r="D156" s="127">
        <f t="shared" si="19"/>
        <v>0</v>
      </c>
      <c r="E156" s="127">
        <f t="shared" si="19"/>
        <v>0</v>
      </c>
      <c r="F156" s="85">
        <f t="shared" si="19"/>
        <v>5799396.8499999987</v>
      </c>
      <c r="G156" s="85">
        <f t="shared" si="19"/>
        <v>711642.83000000007</v>
      </c>
      <c r="H156" s="85">
        <f t="shared" si="19"/>
        <v>1816184.7400000002</v>
      </c>
      <c r="I156" s="85">
        <f t="shared" si="19"/>
        <v>920588.2300000001</v>
      </c>
      <c r="J156" s="85">
        <f t="shared" si="19"/>
        <v>374765.88</v>
      </c>
      <c r="K156" s="85">
        <f t="shared" si="19"/>
        <v>205964.86</v>
      </c>
      <c r="L156" s="128">
        <f t="shared" si="19"/>
        <v>7990347.4699999997</v>
      </c>
      <c r="M156" s="114">
        <f t="shared" si="19"/>
        <v>4944338.7600000007</v>
      </c>
      <c r="N156" s="129">
        <f t="shared" si="19"/>
        <v>-3046008.7099999995</v>
      </c>
    </row>
    <row r="157" spans="1:14" ht="15.75" customHeight="1" thickBot="1" x14ac:dyDescent="0.3"/>
    <row r="158" spans="1:14" ht="30" customHeight="1" thickBot="1" x14ac:dyDescent="0.3">
      <c r="A158" s="172" t="s">
        <v>47</v>
      </c>
      <c r="B158" s="173"/>
      <c r="C158" s="173"/>
      <c r="D158" s="173"/>
      <c r="E158" s="173"/>
      <c r="F158" s="171"/>
      <c r="G158" s="175" t="str">
        <f>"INTERNAÇÕES - "&amp; '[1]intern. diaria convenio'!$H$42</f>
        <v>INTERNAÇÕES - 522</v>
      </c>
      <c r="H158" s="173"/>
      <c r="I158" s="176"/>
      <c r="J158" s="173"/>
      <c r="K158" s="175" t="str">
        <f>"DIÁRIAS - " &amp; '[1]intern. diaria convenio'!$H$88</f>
        <v>DIÁRIAS - 4805</v>
      </c>
      <c r="L158" s="173"/>
      <c r="M158" s="134"/>
      <c r="N158" s="135"/>
    </row>
    <row r="159" spans="1:14" ht="15" customHeight="1" thickBot="1" x14ac:dyDescent="0.3">
      <c r="A159" s="168" t="s">
        <v>2</v>
      </c>
      <c r="B159" s="174" t="s">
        <v>3</v>
      </c>
      <c r="C159" s="173"/>
      <c r="D159" s="173"/>
      <c r="E159" s="171"/>
      <c r="F159" s="170" t="s">
        <v>4</v>
      </c>
      <c r="G159" s="171"/>
      <c r="H159" s="170" t="s">
        <v>5</v>
      </c>
      <c r="I159" s="171"/>
      <c r="J159" s="170" t="s">
        <v>6</v>
      </c>
      <c r="K159" s="171"/>
      <c r="L159" s="117" t="s">
        <v>7</v>
      </c>
      <c r="M159" s="116" t="s">
        <v>8</v>
      </c>
      <c r="N159" s="118" t="s">
        <v>9</v>
      </c>
    </row>
    <row r="160" spans="1:14" ht="15.75" customHeight="1" thickBot="1" x14ac:dyDescent="0.3">
      <c r="A160" s="169"/>
      <c r="B160" s="122" t="s">
        <v>10</v>
      </c>
      <c r="C160" s="116" t="s">
        <v>11</v>
      </c>
      <c r="D160" s="122" t="s">
        <v>12</v>
      </c>
      <c r="E160" s="116" t="s">
        <v>13</v>
      </c>
      <c r="F160" s="109" t="s">
        <v>14</v>
      </c>
      <c r="G160" s="110" t="s">
        <v>15</v>
      </c>
      <c r="H160" s="109" t="s">
        <v>14</v>
      </c>
      <c r="I160" s="110" t="s">
        <v>15</v>
      </c>
      <c r="J160" s="109" t="s">
        <v>14</v>
      </c>
      <c r="K160" s="110" t="s">
        <v>15</v>
      </c>
      <c r="L160" s="116" t="s">
        <v>14</v>
      </c>
      <c r="M160" s="119" t="s">
        <v>15</v>
      </c>
      <c r="N160" s="120" t="s">
        <v>16</v>
      </c>
    </row>
    <row r="161" spans="1:14" ht="15.75" customHeight="1" x14ac:dyDescent="0.25">
      <c r="A161" s="123" t="s">
        <v>17</v>
      </c>
      <c r="B161" s="154"/>
      <c r="C161" s="155"/>
      <c r="D161" s="155"/>
      <c r="E161" s="156"/>
      <c r="F161" s="71">
        <v>14118.9</v>
      </c>
      <c r="G161" s="67"/>
      <c r="H161" s="67">
        <v>30875.79</v>
      </c>
      <c r="I161" s="67"/>
      <c r="J161" s="67">
        <v>59366.48</v>
      </c>
      <c r="K161" s="111"/>
      <c r="L161" s="143">
        <f t="shared" ref="L161:L186" si="20">F161+H161+J161</f>
        <v>104361.17000000001</v>
      </c>
      <c r="M161" s="142">
        <v>121060.31</v>
      </c>
      <c r="N161" s="78">
        <f t="shared" ref="N161:N186" si="21">M161-L161</f>
        <v>16699.139999999985</v>
      </c>
    </row>
    <row r="162" spans="1:14" ht="15.75" customHeight="1" x14ac:dyDescent="0.25">
      <c r="A162" s="124" t="s">
        <v>18</v>
      </c>
      <c r="B162" s="157"/>
      <c r="C162" s="141"/>
      <c r="D162" s="141"/>
      <c r="E162" s="150"/>
      <c r="F162" s="71">
        <v>0</v>
      </c>
      <c r="G162" s="67"/>
      <c r="H162" s="67">
        <v>0</v>
      </c>
      <c r="I162" s="67"/>
      <c r="J162" s="67">
        <v>0</v>
      </c>
      <c r="K162" s="111"/>
      <c r="L162" s="68">
        <f t="shared" si="20"/>
        <v>0</v>
      </c>
      <c r="M162" s="72">
        <v>14466.76</v>
      </c>
      <c r="N162" s="78">
        <f t="shared" si="21"/>
        <v>14466.76</v>
      </c>
    </row>
    <row r="163" spans="1:14" ht="15.75" customHeight="1" x14ac:dyDescent="0.25">
      <c r="A163" s="124" t="s">
        <v>19</v>
      </c>
      <c r="B163" s="157"/>
      <c r="C163" s="141"/>
      <c r="D163" s="141"/>
      <c r="E163" s="150"/>
      <c r="F163" s="71"/>
      <c r="G163" s="67"/>
      <c r="H163" s="67"/>
      <c r="I163" s="67"/>
      <c r="J163" s="67"/>
      <c r="K163" s="111"/>
      <c r="L163" s="68">
        <f t="shared" si="20"/>
        <v>0</v>
      </c>
      <c r="M163" s="72">
        <f>G163+I163+K163</f>
        <v>0</v>
      </c>
      <c r="N163" s="78">
        <f t="shared" si="21"/>
        <v>0</v>
      </c>
    </row>
    <row r="164" spans="1:14" ht="15.75" customHeight="1" x14ac:dyDescent="0.25">
      <c r="A164" s="124" t="s">
        <v>20</v>
      </c>
      <c r="B164" s="157"/>
      <c r="C164" s="141"/>
      <c r="D164" s="141"/>
      <c r="E164" s="150"/>
      <c r="F164" s="71">
        <v>2200.9699999999998</v>
      </c>
      <c r="G164" s="67">
        <v>13970.95</v>
      </c>
      <c r="H164" s="67">
        <v>3912.65</v>
      </c>
      <c r="I164" s="67">
        <v>3150</v>
      </c>
      <c r="J164" s="67">
        <v>8358.7099999999991</v>
      </c>
      <c r="K164" s="111">
        <v>22928.12</v>
      </c>
      <c r="L164" s="68">
        <f t="shared" si="20"/>
        <v>14472.329999999998</v>
      </c>
      <c r="M164" s="72">
        <v>40635</v>
      </c>
      <c r="N164" s="78">
        <f t="shared" si="21"/>
        <v>26162.670000000002</v>
      </c>
    </row>
    <row r="165" spans="1:14" ht="15.75" customHeight="1" x14ac:dyDescent="0.25">
      <c r="A165" s="124" t="s">
        <v>21</v>
      </c>
      <c r="B165" s="157"/>
      <c r="C165" s="141"/>
      <c r="D165" s="141"/>
      <c r="E165" s="150"/>
      <c r="F165" s="71">
        <v>1289.5</v>
      </c>
      <c r="G165" s="67">
        <v>11560.87</v>
      </c>
      <c r="H165" s="67">
        <v>7266.35</v>
      </c>
      <c r="I165" s="67">
        <v>6248</v>
      </c>
      <c r="J165" s="67">
        <v>1832.37</v>
      </c>
      <c r="K165" s="111">
        <v>1771.11</v>
      </c>
      <c r="L165" s="68">
        <f t="shared" si="20"/>
        <v>10388.220000000001</v>
      </c>
      <c r="M165" s="72">
        <f t="shared" ref="M165:M179" si="22">SUM(G165,I165,K165)</f>
        <v>19579.980000000003</v>
      </c>
      <c r="N165" s="78">
        <f t="shared" si="21"/>
        <v>9191.760000000002</v>
      </c>
    </row>
    <row r="166" spans="1:14" ht="15.75" customHeight="1" x14ac:dyDescent="0.25">
      <c r="A166" s="124" t="s">
        <v>22</v>
      </c>
      <c r="B166" s="157"/>
      <c r="C166" s="141"/>
      <c r="D166" s="141"/>
      <c r="E166" s="150"/>
      <c r="F166" s="71">
        <v>7250.73</v>
      </c>
      <c r="G166" s="67">
        <v>11508.58</v>
      </c>
      <c r="H166" s="67">
        <v>5720</v>
      </c>
      <c r="I166" s="67">
        <v>3994.85</v>
      </c>
      <c r="J166" s="67">
        <v>7098.12</v>
      </c>
      <c r="K166" s="111">
        <v>3158.9</v>
      </c>
      <c r="L166" s="68">
        <f t="shared" si="20"/>
        <v>20068.849999999999</v>
      </c>
      <c r="M166" s="72">
        <f t="shared" si="22"/>
        <v>18662.330000000002</v>
      </c>
      <c r="N166" s="78">
        <f t="shared" si="21"/>
        <v>-1406.5199999999968</v>
      </c>
    </row>
    <row r="167" spans="1:14" ht="15.75" customHeight="1" x14ac:dyDescent="0.25">
      <c r="A167" s="125" t="s">
        <v>23</v>
      </c>
      <c r="B167" s="157"/>
      <c r="C167" s="141"/>
      <c r="D167" s="141"/>
      <c r="E167" s="150"/>
      <c r="F167" s="71"/>
      <c r="G167" s="67"/>
      <c r="H167" s="67"/>
      <c r="I167" s="67"/>
      <c r="J167" s="67"/>
      <c r="K167" s="111"/>
      <c r="L167" s="68">
        <f t="shared" si="20"/>
        <v>0</v>
      </c>
      <c r="M167" s="72">
        <f t="shared" si="22"/>
        <v>0</v>
      </c>
      <c r="N167" s="78">
        <f t="shared" si="21"/>
        <v>0</v>
      </c>
    </row>
    <row r="168" spans="1:14" ht="15.75" customHeight="1" x14ac:dyDescent="0.25">
      <c r="A168" s="124" t="s">
        <v>24</v>
      </c>
      <c r="B168" s="157"/>
      <c r="C168" s="141"/>
      <c r="D168" s="141"/>
      <c r="E168" s="150"/>
      <c r="F168" s="71">
        <v>30908.880000000001</v>
      </c>
      <c r="G168" s="67">
        <v>107175.25</v>
      </c>
      <c r="H168" s="67">
        <v>50393.1</v>
      </c>
      <c r="I168" s="67">
        <v>21121.4</v>
      </c>
      <c r="J168" s="67">
        <v>27666.78</v>
      </c>
      <c r="K168" s="111">
        <v>10680.44</v>
      </c>
      <c r="L168" s="68">
        <f t="shared" si="20"/>
        <v>108968.76</v>
      </c>
      <c r="M168" s="72">
        <f t="shared" si="22"/>
        <v>138977.09</v>
      </c>
      <c r="N168" s="78">
        <f t="shared" si="21"/>
        <v>30008.33</v>
      </c>
    </row>
    <row r="169" spans="1:14" ht="15.75" customHeight="1" x14ac:dyDescent="0.25">
      <c r="A169" s="124" t="s">
        <v>25</v>
      </c>
      <c r="B169" s="157"/>
      <c r="C169" s="141"/>
      <c r="D169" s="141"/>
      <c r="E169" s="150"/>
      <c r="F169" s="71">
        <v>31713.16</v>
      </c>
      <c r="G169" s="67">
        <v>64747.06</v>
      </c>
      <c r="H169" s="67">
        <v>20095.54</v>
      </c>
      <c r="I169" s="67">
        <v>11698.04</v>
      </c>
      <c r="J169" s="67">
        <v>5924.91</v>
      </c>
      <c r="K169" s="111">
        <v>4763.3599999999997</v>
      </c>
      <c r="L169" s="68">
        <f t="shared" si="20"/>
        <v>57733.61</v>
      </c>
      <c r="M169" s="72">
        <f t="shared" si="22"/>
        <v>81208.460000000006</v>
      </c>
      <c r="N169" s="78">
        <f t="shared" si="21"/>
        <v>23474.850000000006</v>
      </c>
    </row>
    <row r="170" spans="1:14" ht="15.75" customHeight="1" x14ac:dyDescent="0.25">
      <c r="A170" s="124" t="s">
        <v>26</v>
      </c>
      <c r="B170" s="157"/>
      <c r="C170" s="141"/>
      <c r="D170" s="141"/>
      <c r="E170" s="150"/>
      <c r="G170" s="67"/>
      <c r="H170" s="67"/>
      <c r="I170" s="67"/>
      <c r="J170" s="71"/>
      <c r="K170" s="111"/>
      <c r="L170" s="68">
        <f t="shared" si="20"/>
        <v>0</v>
      </c>
      <c r="M170" s="72">
        <f t="shared" si="22"/>
        <v>0</v>
      </c>
      <c r="N170" s="78">
        <f t="shared" si="21"/>
        <v>0</v>
      </c>
    </row>
    <row r="171" spans="1:14" ht="15.75" customHeight="1" x14ac:dyDescent="0.25">
      <c r="A171" s="124" t="s">
        <v>27</v>
      </c>
      <c r="B171" s="157"/>
      <c r="C171" s="141"/>
      <c r="D171" s="141"/>
      <c r="E171" s="150"/>
      <c r="F171" s="71">
        <v>385.1</v>
      </c>
      <c r="G171" s="67">
        <v>4340.38</v>
      </c>
      <c r="H171" s="67">
        <v>4558</v>
      </c>
      <c r="I171" s="67">
        <v>3087.48</v>
      </c>
      <c r="J171" s="67">
        <v>4296.28</v>
      </c>
      <c r="K171" s="111">
        <v>1238.8</v>
      </c>
      <c r="L171" s="68">
        <f t="shared" si="20"/>
        <v>9239.380000000001</v>
      </c>
      <c r="M171" s="72">
        <f t="shared" si="22"/>
        <v>8666.66</v>
      </c>
      <c r="N171" s="78">
        <f t="shared" si="21"/>
        <v>-572.72000000000116</v>
      </c>
    </row>
    <row r="172" spans="1:14" ht="15.75" customHeight="1" x14ac:dyDescent="0.25">
      <c r="A172" s="124" t="s">
        <v>28</v>
      </c>
      <c r="B172" s="157"/>
      <c r="C172" s="141"/>
      <c r="D172" s="141"/>
      <c r="E172" s="150"/>
      <c r="F172" s="71">
        <v>290</v>
      </c>
      <c r="G172" s="67">
        <v>310</v>
      </c>
      <c r="H172" s="67">
        <v>0</v>
      </c>
      <c r="I172" s="67">
        <v>0</v>
      </c>
      <c r="J172" s="67">
        <v>0</v>
      </c>
      <c r="K172" s="111">
        <v>0</v>
      </c>
      <c r="L172" s="68">
        <f t="shared" si="20"/>
        <v>290</v>
      </c>
      <c r="M172" s="72">
        <f t="shared" si="22"/>
        <v>310</v>
      </c>
      <c r="N172" s="78">
        <f t="shared" si="21"/>
        <v>20</v>
      </c>
    </row>
    <row r="173" spans="1:14" ht="15.75" customHeight="1" x14ac:dyDescent="0.25">
      <c r="A173" s="124" t="s">
        <v>29</v>
      </c>
      <c r="B173" s="157"/>
      <c r="C173" s="141"/>
      <c r="D173" s="141"/>
      <c r="E173" s="150"/>
      <c r="F173" s="67">
        <v>1228342.56</v>
      </c>
      <c r="G173" s="67">
        <v>124274</v>
      </c>
      <c r="H173" s="67">
        <v>321770.75</v>
      </c>
      <c r="I173" s="67">
        <v>439108.02</v>
      </c>
      <c r="J173" s="67">
        <v>42602.52</v>
      </c>
      <c r="K173" s="111">
        <v>32330.25</v>
      </c>
      <c r="L173" s="68">
        <f t="shared" si="20"/>
        <v>1592715.83</v>
      </c>
      <c r="M173" s="72">
        <f t="shared" si="22"/>
        <v>595712.27</v>
      </c>
      <c r="N173" s="78">
        <f t="shared" si="21"/>
        <v>-997003.56</v>
      </c>
    </row>
    <row r="174" spans="1:14" ht="15.75" customHeight="1" x14ac:dyDescent="0.25">
      <c r="A174" s="124" t="s">
        <v>30</v>
      </c>
      <c r="B174" s="157"/>
      <c r="C174" s="141"/>
      <c r="D174" s="141"/>
      <c r="E174" s="150"/>
      <c r="F174" s="71"/>
      <c r="G174" s="67"/>
      <c r="H174" s="67"/>
      <c r="I174" s="67"/>
      <c r="J174" s="67"/>
      <c r="K174" s="111"/>
      <c r="L174" s="68">
        <f t="shared" si="20"/>
        <v>0</v>
      </c>
      <c r="M174" s="72">
        <f t="shared" si="22"/>
        <v>0</v>
      </c>
      <c r="N174" s="78">
        <f t="shared" si="21"/>
        <v>0</v>
      </c>
    </row>
    <row r="175" spans="1:14" ht="15.75" customHeight="1" x14ac:dyDescent="0.25">
      <c r="A175" s="124" t="s">
        <v>31</v>
      </c>
      <c r="B175" s="157"/>
      <c r="C175" s="141"/>
      <c r="D175" s="141"/>
      <c r="E175" s="150"/>
      <c r="F175" s="71"/>
      <c r="G175" s="71"/>
      <c r="H175" s="71"/>
      <c r="I175" s="71"/>
      <c r="J175" s="71"/>
      <c r="K175" s="112"/>
      <c r="L175" s="68">
        <f t="shared" si="20"/>
        <v>0</v>
      </c>
      <c r="M175" s="72">
        <f t="shared" si="22"/>
        <v>0</v>
      </c>
      <c r="N175" s="78">
        <f t="shared" si="21"/>
        <v>0</v>
      </c>
    </row>
    <row r="176" spans="1:14" ht="15.75" customHeight="1" x14ac:dyDescent="0.25">
      <c r="A176" s="124" t="s">
        <v>32</v>
      </c>
      <c r="B176" s="157"/>
      <c r="C176" s="141"/>
      <c r="D176" s="141"/>
      <c r="E176" s="150"/>
      <c r="F176" s="71">
        <v>30730.76</v>
      </c>
      <c r="G176" s="67">
        <v>35229.870000000003</v>
      </c>
      <c r="H176" s="67">
        <v>22633.5</v>
      </c>
      <c r="I176" s="67">
        <v>19445</v>
      </c>
      <c r="J176" s="67">
        <v>5789.14</v>
      </c>
      <c r="K176" s="111">
        <v>12337.35</v>
      </c>
      <c r="L176" s="68">
        <f t="shared" si="20"/>
        <v>59153.399999999994</v>
      </c>
      <c r="M176" s="72">
        <f t="shared" si="22"/>
        <v>67012.22</v>
      </c>
      <c r="N176" s="78">
        <f t="shared" si="21"/>
        <v>7858.820000000007</v>
      </c>
    </row>
    <row r="177" spans="1:14" ht="15.75" customHeight="1" x14ac:dyDescent="0.25">
      <c r="A177" s="125" t="s">
        <v>33</v>
      </c>
      <c r="B177" s="157"/>
      <c r="C177" s="141"/>
      <c r="D177" s="141"/>
      <c r="E177" s="150"/>
      <c r="F177" s="71"/>
      <c r="G177" s="67"/>
      <c r="H177" s="67"/>
      <c r="I177" s="67"/>
      <c r="J177" s="67"/>
      <c r="K177" s="111"/>
      <c r="L177" s="68">
        <f t="shared" si="20"/>
        <v>0</v>
      </c>
      <c r="M177" s="72">
        <f t="shared" si="22"/>
        <v>0</v>
      </c>
      <c r="N177" s="78">
        <f t="shared" si="21"/>
        <v>0</v>
      </c>
    </row>
    <row r="178" spans="1:14" ht="15.75" customHeight="1" x14ac:dyDescent="0.25">
      <c r="A178" s="124" t="s">
        <v>34</v>
      </c>
      <c r="B178" s="157"/>
      <c r="C178" s="141"/>
      <c r="D178" s="141"/>
      <c r="E178" s="150"/>
      <c r="F178" s="71"/>
      <c r="G178" s="67"/>
      <c r="H178" s="67"/>
      <c r="I178" s="67"/>
      <c r="J178" s="67"/>
      <c r="K178" s="111"/>
      <c r="L178" s="68">
        <f t="shared" si="20"/>
        <v>0</v>
      </c>
      <c r="M178" s="72">
        <f t="shared" si="22"/>
        <v>0</v>
      </c>
      <c r="N178" s="78">
        <f t="shared" si="21"/>
        <v>0</v>
      </c>
    </row>
    <row r="179" spans="1:14" ht="15.75" customHeight="1" x14ac:dyDescent="0.25">
      <c r="A179" s="124" t="s">
        <v>35</v>
      </c>
      <c r="B179" s="157"/>
      <c r="C179" s="141"/>
      <c r="D179" s="141"/>
      <c r="E179" s="150"/>
      <c r="F179" s="71"/>
      <c r="G179" s="67"/>
      <c r="H179" s="67"/>
      <c r="I179" s="67"/>
      <c r="J179" s="67"/>
      <c r="K179" s="111"/>
      <c r="L179" s="68">
        <f t="shared" si="20"/>
        <v>0</v>
      </c>
      <c r="M179" s="72">
        <f t="shared" si="22"/>
        <v>0</v>
      </c>
      <c r="N179" s="78">
        <f t="shared" si="21"/>
        <v>0</v>
      </c>
    </row>
    <row r="180" spans="1:14" ht="15.75" customHeight="1" x14ac:dyDescent="0.25">
      <c r="A180" s="124" t="s">
        <v>36</v>
      </c>
      <c r="B180" s="157"/>
      <c r="C180" s="141"/>
      <c r="D180" s="141"/>
      <c r="E180" s="150"/>
      <c r="F180" s="71">
        <v>36139.769999999997</v>
      </c>
      <c r="G180" s="67"/>
      <c r="H180" s="67">
        <v>164420.65</v>
      </c>
      <c r="I180" s="67"/>
      <c r="J180" s="67">
        <v>69709.98</v>
      </c>
      <c r="K180" s="111"/>
      <c r="L180" s="68">
        <f t="shared" si="20"/>
        <v>270270.39999999997</v>
      </c>
      <c r="M180" s="72">
        <v>400000</v>
      </c>
      <c r="N180" s="78">
        <f t="shared" si="21"/>
        <v>129729.60000000003</v>
      </c>
    </row>
    <row r="181" spans="1:14" ht="15.75" customHeight="1" x14ac:dyDescent="0.25">
      <c r="A181" s="125" t="s">
        <v>37</v>
      </c>
      <c r="B181" s="157"/>
      <c r="C181" s="141"/>
      <c r="D181" s="141"/>
      <c r="E181" s="150"/>
      <c r="F181" s="108"/>
      <c r="G181" s="67"/>
      <c r="H181" s="67"/>
      <c r="I181" s="67"/>
      <c r="J181" s="67"/>
      <c r="K181" s="111"/>
      <c r="L181" s="68">
        <f t="shared" si="20"/>
        <v>0</v>
      </c>
      <c r="M181" s="145">
        <f>G181+I181+K181</f>
        <v>0</v>
      </c>
      <c r="N181" s="78">
        <f t="shared" si="21"/>
        <v>0</v>
      </c>
    </row>
    <row r="182" spans="1:14" ht="15.75" customHeight="1" x14ac:dyDescent="0.25">
      <c r="A182" s="124" t="s">
        <v>38</v>
      </c>
      <c r="B182" s="157"/>
      <c r="C182" s="141"/>
      <c r="D182" s="141"/>
      <c r="E182" s="150"/>
      <c r="F182" s="71">
        <v>5273.09</v>
      </c>
      <c r="G182" s="67">
        <v>17724.740000000002</v>
      </c>
      <c r="H182" s="71">
        <v>34980.449999999997</v>
      </c>
      <c r="I182" s="67">
        <v>20239.8</v>
      </c>
      <c r="J182" s="67">
        <v>1416.67</v>
      </c>
      <c r="K182" s="111">
        <v>730.92</v>
      </c>
      <c r="L182" s="68">
        <f t="shared" si="20"/>
        <v>41670.209999999992</v>
      </c>
      <c r="M182" s="72">
        <v>6239.5</v>
      </c>
      <c r="N182" s="78">
        <f t="shared" si="21"/>
        <v>-35430.709999999992</v>
      </c>
    </row>
    <row r="183" spans="1:14" ht="15.75" customHeight="1" x14ac:dyDescent="0.25">
      <c r="A183" s="124" t="s">
        <v>39</v>
      </c>
      <c r="B183" s="157"/>
      <c r="C183" s="141"/>
      <c r="D183" s="141"/>
      <c r="E183" s="150"/>
      <c r="F183" s="71">
        <v>10947.48</v>
      </c>
      <c r="G183" s="67">
        <v>59866.26</v>
      </c>
      <c r="H183" s="67">
        <v>17425.900000000001</v>
      </c>
      <c r="I183" s="67">
        <v>9505.82</v>
      </c>
      <c r="J183" s="67">
        <v>22366.41</v>
      </c>
      <c r="K183" s="111">
        <v>5752.43</v>
      </c>
      <c r="L183" s="68">
        <f t="shared" si="20"/>
        <v>50739.79</v>
      </c>
      <c r="M183" s="72">
        <f>G183+I183+K183</f>
        <v>75124.510000000009</v>
      </c>
      <c r="N183" s="78">
        <f t="shared" si="21"/>
        <v>24384.720000000008</v>
      </c>
    </row>
    <row r="184" spans="1:14" ht="15.75" customHeight="1" x14ac:dyDescent="0.25">
      <c r="A184" s="124" t="s">
        <v>40</v>
      </c>
      <c r="B184" s="157"/>
      <c r="C184" s="141"/>
      <c r="D184" s="141"/>
      <c r="E184" s="150"/>
      <c r="F184" s="71"/>
      <c r="G184" s="67"/>
      <c r="H184" s="67">
        <v>13266.3</v>
      </c>
      <c r="I184" s="67"/>
      <c r="J184" s="67"/>
      <c r="K184" s="111"/>
      <c r="L184" s="68">
        <f t="shared" si="20"/>
        <v>13266.3</v>
      </c>
      <c r="M184" s="72">
        <v>2536685.71</v>
      </c>
      <c r="N184" s="78">
        <f t="shared" si="21"/>
        <v>2523419.41</v>
      </c>
    </row>
    <row r="185" spans="1:14" ht="15.75" customHeight="1" x14ac:dyDescent="0.25">
      <c r="A185" s="124" t="s">
        <v>41</v>
      </c>
      <c r="B185" s="157"/>
      <c r="C185" s="141"/>
      <c r="D185" s="141"/>
      <c r="E185" s="150"/>
      <c r="F185" s="71"/>
      <c r="G185" s="67"/>
      <c r="H185" s="67"/>
      <c r="I185" s="67"/>
      <c r="J185" s="67"/>
      <c r="K185" s="111"/>
      <c r="L185" s="68">
        <f t="shared" si="20"/>
        <v>0</v>
      </c>
      <c r="M185" s="145">
        <f>G185+I185+K185</f>
        <v>0</v>
      </c>
      <c r="N185" s="78">
        <f t="shared" si="21"/>
        <v>0</v>
      </c>
    </row>
    <row r="186" spans="1:14" ht="16.5" customHeight="1" thickBot="1" x14ac:dyDescent="0.3">
      <c r="A186" s="126" t="s">
        <v>42</v>
      </c>
      <c r="B186" s="158"/>
      <c r="C186" s="159"/>
      <c r="D186" s="159"/>
      <c r="E186" s="160"/>
      <c r="F186" s="71">
        <v>557353.59</v>
      </c>
      <c r="G186" s="67">
        <v>96910.720000000001</v>
      </c>
      <c r="H186" s="69">
        <v>287491.93</v>
      </c>
      <c r="I186" s="69">
        <v>282459.65999999997</v>
      </c>
      <c r="J186" s="69">
        <v>37252.620000000003</v>
      </c>
      <c r="K186" s="113">
        <v>66852.63</v>
      </c>
      <c r="L186" s="74">
        <f t="shared" si="20"/>
        <v>882098.14</v>
      </c>
      <c r="M186" s="73">
        <f>SUM(G186,I186,K186)</f>
        <v>446223.01</v>
      </c>
      <c r="N186" s="80">
        <f t="shared" si="21"/>
        <v>-435875.13</v>
      </c>
    </row>
    <row r="187" spans="1:14" ht="30" customHeight="1" thickBot="1" x14ac:dyDescent="0.3">
      <c r="A187" s="121" t="s">
        <v>9</v>
      </c>
      <c r="B187" s="127">
        <f t="shared" ref="B187:N187" si="23">SUM(B161:B186)</f>
        <v>0</v>
      </c>
      <c r="C187" s="127">
        <f t="shared" si="23"/>
        <v>0</v>
      </c>
      <c r="D187" s="127">
        <f t="shared" si="23"/>
        <v>0</v>
      </c>
      <c r="E187" s="127">
        <f t="shared" si="23"/>
        <v>0</v>
      </c>
      <c r="F187" s="85">
        <f t="shared" si="23"/>
        <v>1956944.4900000002</v>
      </c>
      <c r="G187" s="85">
        <f t="shared" si="23"/>
        <v>547618.67999999993</v>
      </c>
      <c r="H187" s="85">
        <f t="shared" si="23"/>
        <v>984810.90999999992</v>
      </c>
      <c r="I187" s="85">
        <f t="shared" si="23"/>
        <v>820058.07000000007</v>
      </c>
      <c r="J187" s="85">
        <f t="shared" si="23"/>
        <v>293680.99</v>
      </c>
      <c r="K187" s="85">
        <f t="shared" si="23"/>
        <v>162544.31000000003</v>
      </c>
      <c r="L187" s="128">
        <f t="shared" si="23"/>
        <v>3235436.39</v>
      </c>
      <c r="M187" s="114">
        <f t="shared" si="23"/>
        <v>4570563.8099999996</v>
      </c>
      <c r="N187" s="129">
        <f t="shared" si="23"/>
        <v>1335127.4200000004</v>
      </c>
    </row>
    <row r="188" spans="1:14" ht="15.75" customHeight="1" thickBot="1" x14ac:dyDescent="0.3"/>
    <row r="189" spans="1:14" ht="30" customHeight="1" thickBot="1" x14ac:dyDescent="0.3">
      <c r="A189" s="172" t="s">
        <v>48</v>
      </c>
      <c r="B189" s="173"/>
      <c r="C189" s="173"/>
      <c r="D189" s="173"/>
      <c r="E189" s="173"/>
      <c r="F189" s="171"/>
      <c r="G189" s="175" t="str">
        <f>"INTERNAÇÕES - "&amp; '[1]intern. diaria convenio'!$I$42</f>
        <v>INTERNAÇÕES - 598</v>
      </c>
      <c r="H189" s="173"/>
      <c r="I189" s="176"/>
      <c r="J189" s="173"/>
      <c r="K189" s="175" t="str">
        <f>"DIÁRIAS - " &amp; '[1]intern. diaria convenio'!$I$88</f>
        <v>DIÁRIAS - 4959</v>
      </c>
      <c r="L189" s="173"/>
      <c r="M189" s="134"/>
      <c r="N189" s="135"/>
    </row>
    <row r="190" spans="1:14" ht="15" customHeight="1" thickBot="1" x14ac:dyDescent="0.3">
      <c r="A190" s="168" t="s">
        <v>2</v>
      </c>
      <c r="B190" s="174" t="s">
        <v>3</v>
      </c>
      <c r="C190" s="173"/>
      <c r="D190" s="173"/>
      <c r="E190" s="171"/>
      <c r="F190" s="170" t="s">
        <v>4</v>
      </c>
      <c r="G190" s="171"/>
      <c r="H190" s="170" t="s">
        <v>5</v>
      </c>
      <c r="I190" s="171"/>
      <c r="J190" s="170" t="s">
        <v>6</v>
      </c>
      <c r="K190" s="171"/>
      <c r="L190" s="117" t="s">
        <v>7</v>
      </c>
      <c r="M190" s="116" t="s">
        <v>8</v>
      </c>
      <c r="N190" s="118" t="s">
        <v>9</v>
      </c>
    </row>
    <row r="191" spans="1:14" ht="15.75" customHeight="1" thickBot="1" x14ac:dyDescent="0.3">
      <c r="A191" s="169"/>
      <c r="B191" s="122" t="s">
        <v>10</v>
      </c>
      <c r="C191" s="116" t="s">
        <v>11</v>
      </c>
      <c r="D191" s="122" t="s">
        <v>12</v>
      </c>
      <c r="E191" s="116" t="s">
        <v>13</v>
      </c>
      <c r="F191" s="109" t="s">
        <v>14</v>
      </c>
      <c r="G191" s="110" t="s">
        <v>15</v>
      </c>
      <c r="H191" s="109" t="s">
        <v>14</v>
      </c>
      <c r="I191" s="110" t="s">
        <v>15</v>
      </c>
      <c r="J191" s="109" t="s">
        <v>14</v>
      </c>
      <c r="K191" s="110" t="s">
        <v>15</v>
      </c>
      <c r="L191" s="116" t="s">
        <v>14</v>
      </c>
      <c r="M191" s="119" t="s">
        <v>15</v>
      </c>
      <c r="N191" s="120" t="s">
        <v>16</v>
      </c>
    </row>
    <row r="192" spans="1:14" ht="15.75" customHeight="1" x14ac:dyDescent="0.25">
      <c r="A192" s="123" t="s">
        <v>17</v>
      </c>
      <c r="B192" s="154">
        <v>7</v>
      </c>
      <c r="C192" s="155">
        <v>81</v>
      </c>
      <c r="D192" s="155">
        <v>3</v>
      </c>
      <c r="E192" s="156">
        <v>6</v>
      </c>
      <c r="F192" s="71"/>
      <c r="G192" s="67"/>
      <c r="H192" s="67"/>
      <c r="I192" s="67"/>
      <c r="J192" s="67"/>
      <c r="K192" s="111"/>
      <c r="L192" s="143">
        <f t="shared" ref="L192:L217" si="24">F192+H192+J192</f>
        <v>0</v>
      </c>
      <c r="M192" s="142">
        <v>250150.25</v>
      </c>
      <c r="N192" s="78">
        <f t="shared" ref="N192:N217" si="25">M192-L192</f>
        <v>250150.25</v>
      </c>
    </row>
    <row r="193" spans="1:14" ht="15.75" customHeight="1" x14ac:dyDescent="0.25">
      <c r="A193" s="124" t="s">
        <v>18</v>
      </c>
      <c r="B193" s="157"/>
      <c r="C193" s="141"/>
      <c r="D193" s="141"/>
      <c r="E193" s="150"/>
      <c r="F193" s="71"/>
      <c r="G193" s="67"/>
      <c r="H193" s="67"/>
      <c r="I193" s="67"/>
      <c r="J193" s="67"/>
      <c r="K193" s="111"/>
      <c r="L193" s="68">
        <f t="shared" si="24"/>
        <v>0</v>
      </c>
      <c r="M193" s="72"/>
      <c r="N193" s="78">
        <f t="shared" si="25"/>
        <v>0</v>
      </c>
    </row>
    <row r="194" spans="1:14" ht="15.75" customHeight="1" x14ac:dyDescent="0.25">
      <c r="A194" s="124" t="s">
        <v>19</v>
      </c>
      <c r="B194" s="157"/>
      <c r="C194" s="141"/>
      <c r="D194" s="141"/>
      <c r="E194" s="150"/>
      <c r="F194" s="71"/>
      <c r="G194" s="67"/>
      <c r="H194" s="67"/>
      <c r="I194" s="67"/>
      <c r="J194" s="67"/>
      <c r="K194" s="111"/>
      <c r="L194" s="68">
        <f t="shared" si="24"/>
        <v>0</v>
      </c>
      <c r="M194" s="72">
        <f>G194+I194+K194</f>
        <v>0</v>
      </c>
      <c r="N194" s="78">
        <f t="shared" si="25"/>
        <v>0</v>
      </c>
    </row>
    <row r="195" spans="1:14" ht="15.75" customHeight="1" x14ac:dyDescent="0.25">
      <c r="A195" s="124" t="s">
        <v>20</v>
      </c>
      <c r="B195" s="157"/>
      <c r="C195" s="141">
        <v>2</v>
      </c>
      <c r="D195" s="141"/>
      <c r="E195" s="150"/>
      <c r="F195" s="71"/>
      <c r="G195" s="67"/>
      <c r="H195" s="67"/>
      <c r="I195" s="67"/>
      <c r="J195" s="67"/>
      <c r="K195" s="111"/>
      <c r="L195" s="68">
        <f t="shared" si="24"/>
        <v>0</v>
      </c>
      <c r="M195" s="72">
        <v>39640</v>
      </c>
      <c r="N195" s="78">
        <f t="shared" si="25"/>
        <v>39640</v>
      </c>
    </row>
    <row r="196" spans="1:14" ht="15.75" customHeight="1" x14ac:dyDescent="0.25">
      <c r="A196" s="124" t="s">
        <v>21</v>
      </c>
      <c r="B196" s="157">
        <v>20</v>
      </c>
      <c r="C196" s="141">
        <v>1</v>
      </c>
      <c r="D196" s="141"/>
      <c r="E196" s="150"/>
      <c r="F196" s="71"/>
      <c r="G196" s="67"/>
      <c r="H196" s="67"/>
      <c r="I196" s="67"/>
      <c r="J196" s="67"/>
      <c r="K196" s="111"/>
      <c r="L196" s="68">
        <f t="shared" si="24"/>
        <v>0</v>
      </c>
      <c r="M196" s="72">
        <f t="shared" ref="M196:M210" si="26">SUM(G196,I196,K196)</f>
        <v>0</v>
      </c>
      <c r="N196" s="78">
        <f t="shared" si="25"/>
        <v>0</v>
      </c>
    </row>
    <row r="197" spans="1:14" ht="15.75" customHeight="1" x14ac:dyDescent="0.25">
      <c r="A197" s="124" t="s">
        <v>22</v>
      </c>
      <c r="B197" s="157"/>
      <c r="C197" s="141"/>
      <c r="D197" s="141"/>
      <c r="E197" s="150"/>
      <c r="F197" s="71"/>
      <c r="G197" s="67"/>
      <c r="H197" s="67"/>
      <c r="I197" s="67"/>
      <c r="J197" s="67"/>
      <c r="K197" s="111"/>
      <c r="L197" s="68">
        <f t="shared" si="24"/>
        <v>0</v>
      </c>
      <c r="M197" s="72">
        <f t="shared" si="26"/>
        <v>0</v>
      </c>
      <c r="N197" s="78">
        <f t="shared" si="25"/>
        <v>0</v>
      </c>
    </row>
    <row r="198" spans="1:14" ht="15.75" customHeight="1" x14ac:dyDescent="0.25">
      <c r="A198" s="125" t="s">
        <v>23</v>
      </c>
      <c r="B198" s="157"/>
      <c r="C198" s="141"/>
      <c r="D198" s="141"/>
      <c r="E198" s="150"/>
      <c r="F198" s="71"/>
      <c r="G198" s="67"/>
      <c r="H198" s="67"/>
      <c r="I198" s="67"/>
      <c r="J198" s="67"/>
      <c r="K198" s="111"/>
      <c r="L198" s="68">
        <f t="shared" si="24"/>
        <v>0</v>
      </c>
      <c r="M198" s="72">
        <f t="shared" si="26"/>
        <v>0</v>
      </c>
      <c r="N198" s="78">
        <f t="shared" si="25"/>
        <v>0</v>
      </c>
    </row>
    <row r="199" spans="1:14" ht="15.75" customHeight="1" x14ac:dyDescent="0.25">
      <c r="A199" s="124" t="s">
        <v>24</v>
      </c>
      <c r="B199" s="157">
        <v>45</v>
      </c>
      <c r="C199" s="141"/>
      <c r="D199" s="141"/>
      <c r="E199" s="150"/>
      <c r="F199" s="71"/>
      <c r="G199" s="67"/>
      <c r="H199" s="67"/>
      <c r="I199" s="67"/>
      <c r="J199" s="67"/>
      <c r="K199" s="111"/>
      <c r="L199" s="68">
        <f t="shared" si="24"/>
        <v>0</v>
      </c>
      <c r="M199" s="72">
        <f t="shared" si="26"/>
        <v>0</v>
      </c>
      <c r="N199" s="78">
        <f t="shared" si="25"/>
        <v>0</v>
      </c>
    </row>
    <row r="200" spans="1:14" ht="15.75" customHeight="1" x14ac:dyDescent="0.25">
      <c r="A200" s="124" t="s">
        <v>25</v>
      </c>
      <c r="B200" s="157"/>
      <c r="C200" s="141">
        <v>3</v>
      </c>
      <c r="D200" s="141"/>
      <c r="E200" s="150">
        <v>4</v>
      </c>
      <c r="F200" s="71"/>
      <c r="G200" s="67"/>
      <c r="H200" s="67"/>
      <c r="I200" s="67"/>
      <c r="J200" s="67"/>
      <c r="K200" s="111"/>
      <c r="L200" s="68">
        <f t="shared" si="24"/>
        <v>0</v>
      </c>
      <c r="M200" s="72">
        <f t="shared" si="26"/>
        <v>0</v>
      </c>
      <c r="N200" s="78">
        <f t="shared" si="25"/>
        <v>0</v>
      </c>
    </row>
    <row r="201" spans="1:14" ht="15.75" customHeight="1" x14ac:dyDescent="0.25">
      <c r="A201" s="124" t="s">
        <v>26</v>
      </c>
      <c r="B201" s="157"/>
      <c r="C201" s="141"/>
      <c r="D201" s="141"/>
      <c r="E201" s="150"/>
      <c r="G201" s="67"/>
      <c r="H201" s="67"/>
      <c r="I201" s="67"/>
      <c r="J201" s="71"/>
      <c r="K201" s="111"/>
      <c r="L201" s="68">
        <f t="shared" si="24"/>
        <v>0</v>
      </c>
      <c r="M201" s="72">
        <f t="shared" si="26"/>
        <v>0</v>
      </c>
      <c r="N201" s="78">
        <f t="shared" si="25"/>
        <v>0</v>
      </c>
    </row>
    <row r="202" spans="1:14" ht="15.75" customHeight="1" x14ac:dyDescent="0.25">
      <c r="A202" s="124" t="s">
        <v>27</v>
      </c>
      <c r="B202" s="157">
        <v>1</v>
      </c>
      <c r="C202" s="141"/>
      <c r="D202" s="141"/>
      <c r="E202" s="150"/>
      <c r="F202" s="71"/>
      <c r="G202" s="67"/>
      <c r="H202" s="67"/>
      <c r="I202" s="67"/>
      <c r="J202" s="67"/>
      <c r="K202" s="111"/>
      <c r="L202" s="68">
        <f t="shared" si="24"/>
        <v>0</v>
      </c>
      <c r="M202" s="72">
        <f t="shared" si="26"/>
        <v>0</v>
      </c>
      <c r="N202" s="78">
        <f t="shared" si="25"/>
        <v>0</v>
      </c>
    </row>
    <row r="203" spans="1:14" ht="15.75" customHeight="1" x14ac:dyDescent="0.25">
      <c r="A203" s="124" t="s">
        <v>28</v>
      </c>
      <c r="B203" s="157"/>
      <c r="C203" s="141">
        <v>1</v>
      </c>
      <c r="D203" s="141"/>
      <c r="E203" s="150"/>
      <c r="F203" s="71"/>
      <c r="G203" s="67"/>
      <c r="H203" s="67"/>
      <c r="I203" s="67"/>
      <c r="J203" s="67"/>
      <c r="K203" s="111"/>
      <c r="L203" s="68">
        <f t="shared" si="24"/>
        <v>0</v>
      </c>
      <c r="M203" s="72">
        <f t="shared" si="26"/>
        <v>0</v>
      </c>
      <c r="N203" s="78">
        <f t="shared" si="25"/>
        <v>0</v>
      </c>
    </row>
    <row r="204" spans="1:14" ht="15.75" customHeight="1" x14ac:dyDescent="0.25">
      <c r="A204" s="124" t="s">
        <v>29</v>
      </c>
      <c r="B204" s="157">
        <v>579</v>
      </c>
      <c r="C204" s="141">
        <v>109</v>
      </c>
      <c r="D204" s="141">
        <v>19</v>
      </c>
      <c r="E204" s="150">
        <v>33</v>
      </c>
      <c r="F204" s="71"/>
      <c r="G204" s="67"/>
      <c r="H204" s="67"/>
      <c r="I204" s="67"/>
      <c r="J204" s="67"/>
      <c r="K204" s="111"/>
      <c r="L204" s="68">
        <f t="shared" si="24"/>
        <v>0</v>
      </c>
      <c r="M204" s="72">
        <f t="shared" si="26"/>
        <v>0</v>
      </c>
      <c r="N204" s="78">
        <f t="shared" si="25"/>
        <v>0</v>
      </c>
    </row>
    <row r="205" spans="1:14" ht="15.75" customHeight="1" x14ac:dyDescent="0.25">
      <c r="A205" s="124" t="s">
        <v>30</v>
      </c>
      <c r="B205" s="157"/>
      <c r="C205" s="141"/>
      <c r="D205" s="141"/>
      <c r="E205" s="150"/>
      <c r="F205" s="71"/>
      <c r="G205" s="67"/>
      <c r="H205" s="67"/>
      <c r="I205" s="67"/>
      <c r="J205" s="67"/>
      <c r="K205" s="111"/>
      <c r="L205" s="68">
        <f t="shared" si="24"/>
        <v>0</v>
      </c>
      <c r="M205" s="72">
        <f t="shared" si="26"/>
        <v>0</v>
      </c>
      <c r="N205" s="78">
        <f t="shared" si="25"/>
        <v>0</v>
      </c>
    </row>
    <row r="206" spans="1:14" ht="15.75" customHeight="1" x14ac:dyDescent="0.25">
      <c r="A206" s="124" t="s">
        <v>31</v>
      </c>
      <c r="B206" s="157"/>
      <c r="C206" s="141"/>
      <c r="D206" s="141"/>
      <c r="E206" s="150"/>
      <c r="F206" s="71"/>
      <c r="G206" s="71"/>
      <c r="H206" s="71"/>
      <c r="I206" s="71"/>
      <c r="J206" s="71"/>
      <c r="K206" s="112"/>
      <c r="L206" s="68">
        <f t="shared" si="24"/>
        <v>0</v>
      </c>
      <c r="M206" s="72">
        <f t="shared" si="26"/>
        <v>0</v>
      </c>
      <c r="N206" s="78">
        <f t="shared" si="25"/>
        <v>0</v>
      </c>
    </row>
    <row r="207" spans="1:14" ht="15.75" customHeight="1" x14ac:dyDescent="0.25">
      <c r="A207" s="124" t="s">
        <v>32</v>
      </c>
      <c r="B207" s="157">
        <v>41</v>
      </c>
      <c r="C207" s="141">
        <v>3</v>
      </c>
      <c r="D207" s="141">
        <v>6</v>
      </c>
      <c r="E207" s="150">
        <v>2</v>
      </c>
      <c r="F207" s="71"/>
      <c r="G207" s="67"/>
      <c r="H207" s="67"/>
      <c r="I207" s="67"/>
      <c r="J207" s="67"/>
      <c r="K207" s="111"/>
      <c r="L207" s="68">
        <f t="shared" si="24"/>
        <v>0</v>
      </c>
      <c r="M207" s="72">
        <f t="shared" si="26"/>
        <v>0</v>
      </c>
      <c r="N207" s="78">
        <f t="shared" si="25"/>
        <v>0</v>
      </c>
    </row>
    <row r="208" spans="1:14" ht="15.75" customHeight="1" x14ac:dyDescent="0.25">
      <c r="A208" s="125" t="s">
        <v>33</v>
      </c>
      <c r="B208" s="157"/>
      <c r="C208" s="141"/>
      <c r="D208" s="141"/>
      <c r="E208" s="150"/>
      <c r="F208" s="71"/>
      <c r="G208" s="67"/>
      <c r="H208" s="67"/>
      <c r="I208" s="67"/>
      <c r="J208" s="67"/>
      <c r="K208" s="111"/>
      <c r="L208" s="68">
        <f t="shared" si="24"/>
        <v>0</v>
      </c>
      <c r="M208" s="72">
        <f t="shared" si="26"/>
        <v>0</v>
      </c>
      <c r="N208" s="78">
        <f t="shared" si="25"/>
        <v>0</v>
      </c>
    </row>
    <row r="209" spans="1:14" ht="15.75" customHeight="1" x14ac:dyDescent="0.25">
      <c r="A209" s="124" t="s">
        <v>34</v>
      </c>
      <c r="B209" s="157"/>
      <c r="C209" s="141"/>
      <c r="D209" s="141"/>
      <c r="E209" s="150"/>
      <c r="F209" s="71"/>
      <c r="G209" s="67"/>
      <c r="H209" s="67"/>
      <c r="I209" s="67"/>
      <c r="J209" s="67"/>
      <c r="K209" s="111"/>
      <c r="L209" s="68">
        <f t="shared" si="24"/>
        <v>0</v>
      </c>
      <c r="M209" s="72">
        <f t="shared" si="26"/>
        <v>0</v>
      </c>
      <c r="N209" s="78">
        <f t="shared" si="25"/>
        <v>0</v>
      </c>
    </row>
    <row r="210" spans="1:14" ht="15.75" customHeight="1" x14ac:dyDescent="0.25">
      <c r="A210" s="124" t="s">
        <v>35</v>
      </c>
      <c r="B210" s="157"/>
      <c r="C210" s="141"/>
      <c r="D210" s="141"/>
      <c r="E210" s="150"/>
      <c r="F210" s="71"/>
      <c r="G210" s="67"/>
      <c r="H210" s="67"/>
      <c r="I210" s="67"/>
      <c r="J210" s="67"/>
      <c r="K210" s="111"/>
      <c r="L210" s="68">
        <f t="shared" si="24"/>
        <v>0</v>
      </c>
      <c r="M210" s="72">
        <f t="shared" si="26"/>
        <v>0</v>
      </c>
      <c r="N210" s="78">
        <f t="shared" si="25"/>
        <v>0</v>
      </c>
    </row>
    <row r="211" spans="1:14" ht="15.75" customHeight="1" x14ac:dyDescent="0.25">
      <c r="A211" s="124" t="s">
        <v>36</v>
      </c>
      <c r="B211" s="157">
        <v>20</v>
      </c>
      <c r="C211" s="141">
        <v>218</v>
      </c>
      <c r="D211" s="141">
        <v>18</v>
      </c>
      <c r="E211" s="150"/>
      <c r="F211" s="71"/>
      <c r="G211" s="67"/>
      <c r="H211" s="67"/>
      <c r="I211" s="67"/>
      <c r="J211" s="67"/>
      <c r="K211" s="111"/>
      <c r="L211" s="68">
        <f t="shared" si="24"/>
        <v>0</v>
      </c>
      <c r="M211" s="72">
        <v>400000</v>
      </c>
      <c r="N211" s="78">
        <f t="shared" si="25"/>
        <v>400000</v>
      </c>
    </row>
    <row r="212" spans="1:14" ht="15.75" customHeight="1" x14ac:dyDescent="0.25">
      <c r="A212" s="125" t="s">
        <v>37</v>
      </c>
      <c r="B212" s="157"/>
      <c r="C212" s="141"/>
      <c r="D212" s="141"/>
      <c r="E212" s="150"/>
      <c r="F212" s="108"/>
      <c r="G212" s="67"/>
      <c r="H212" s="67"/>
      <c r="I212" s="67"/>
      <c r="J212" s="67"/>
      <c r="K212" s="111"/>
      <c r="L212" s="68">
        <f t="shared" si="24"/>
        <v>0</v>
      </c>
      <c r="M212" s="145">
        <f>G212+I212+K212</f>
        <v>0</v>
      </c>
      <c r="N212" s="78">
        <f t="shared" si="25"/>
        <v>0</v>
      </c>
    </row>
    <row r="213" spans="1:14" ht="15.75" customHeight="1" x14ac:dyDescent="0.25">
      <c r="A213" s="124" t="s">
        <v>38</v>
      </c>
      <c r="B213" s="157">
        <v>5</v>
      </c>
      <c r="C213" s="141"/>
      <c r="D213" s="141">
        <v>13</v>
      </c>
      <c r="E213" s="150"/>
      <c r="F213" s="71"/>
      <c r="G213" s="67"/>
      <c r="H213" s="71"/>
      <c r="I213" s="67"/>
      <c r="J213" s="67"/>
      <c r="K213" s="111"/>
      <c r="L213" s="68">
        <f t="shared" si="24"/>
        <v>0</v>
      </c>
      <c r="M213" s="72">
        <v>1791.9</v>
      </c>
      <c r="N213" s="78">
        <f t="shared" si="25"/>
        <v>1791.9</v>
      </c>
    </row>
    <row r="214" spans="1:14" ht="15.75" customHeight="1" x14ac:dyDescent="0.25">
      <c r="A214" s="124" t="s">
        <v>39</v>
      </c>
      <c r="B214" s="157"/>
      <c r="C214" s="141"/>
      <c r="D214" s="141"/>
      <c r="E214" s="150"/>
      <c r="F214" s="71"/>
      <c r="G214" s="67"/>
      <c r="H214" s="67"/>
      <c r="I214" s="67"/>
      <c r="J214" s="67"/>
      <c r="K214" s="111"/>
      <c r="L214" s="68">
        <f t="shared" si="24"/>
        <v>0</v>
      </c>
      <c r="M214" s="72">
        <f>G214+I214+K214</f>
        <v>0</v>
      </c>
      <c r="N214" s="78">
        <f t="shared" si="25"/>
        <v>0</v>
      </c>
    </row>
    <row r="215" spans="1:14" ht="15.75" customHeight="1" x14ac:dyDescent="0.25">
      <c r="A215" s="124" t="s">
        <v>40</v>
      </c>
      <c r="B215" s="157"/>
      <c r="C215" s="141">
        <v>2203</v>
      </c>
      <c r="D215" s="141">
        <v>107</v>
      </c>
      <c r="E215" s="150">
        <v>192</v>
      </c>
      <c r="F215" s="71"/>
      <c r="G215" s="67"/>
      <c r="H215" s="67"/>
      <c r="I215" s="67"/>
      <c r="J215" s="67"/>
      <c r="K215" s="111"/>
      <c r="L215" s="68">
        <f t="shared" si="24"/>
        <v>0</v>
      </c>
      <c r="M215" s="72">
        <v>2412845.4700000002</v>
      </c>
      <c r="N215" s="78">
        <f t="shared" si="25"/>
        <v>2412845.4700000002</v>
      </c>
    </row>
    <row r="216" spans="1:14" ht="15.75" customHeight="1" x14ac:dyDescent="0.25">
      <c r="A216" s="124" t="s">
        <v>41</v>
      </c>
      <c r="B216" s="157"/>
      <c r="C216" s="141"/>
      <c r="D216" s="141"/>
      <c r="E216" s="150"/>
      <c r="F216" s="71"/>
      <c r="G216" s="67"/>
      <c r="H216" s="67"/>
      <c r="I216" s="67"/>
      <c r="J216" s="67"/>
      <c r="K216" s="111"/>
      <c r="L216" s="68">
        <f t="shared" si="24"/>
        <v>0</v>
      </c>
      <c r="M216" s="145">
        <f>G216+I216+K216</f>
        <v>0</v>
      </c>
      <c r="N216" s="78">
        <f t="shared" si="25"/>
        <v>0</v>
      </c>
    </row>
    <row r="217" spans="1:14" ht="16.5" customHeight="1" thickBot="1" x14ac:dyDescent="0.3">
      <c r="A217" s="126" t="s">
        <v>42</v>
      </c>
      <c r="B217" s="158">
        <v>150</v>
      </c>
      <c r="C217" s="159">
        <v>125</v>
      </c>
      <c r="D217" s="159">
        <v>14</v>
      </c>
      <c r="E217" s="160">
        <v>52</v>
      </c>
      <c r="F217" s="71"/>
      <c r="G217" s="67"/>
      <c r="H217" s="69"/>
      <c r="I217" s="69"/>
      <c r="J217" s="69"/>
      <c r="K217" s="113"/>
      <c r="L217" s="74">
        <f t="shared" si="24"/>
        <v>0</v>
      </c>
      <c r="M217" s="73">
        <f>SUM(G217,I217,K217)</f>
        <v>0</v>
      </c>
      <c r="N217" s="80">
        <f t="shared" si="25"/>
        <v>0</v>
      </c>
    </row>
    <row r="218" spans="1:14" ht="30" customHeight="1" thickBot="1" x14ac:dyDescent="0.3">
      <c r="A218" s="121" t="s">
        <v>9</v>
      </c>
      <c r="B218" s="127">
        <f t="shared" ref="B218:N218" si="27">SUM(B192:B217)</f>
        <v>868</v>
      </c>
      <c r="C218" s="127">
        <f t="shared" si="27"/>
        <v>2746</v>
      </c>
      <c r="D218" s="127">
        <f t="shared" si="27"/>
        <v>180</v>
      </c>
      <c r="E218" s="127">
        <f t="shared" si="27"/>
        <v>289</v>
      </c>
      <c r="F218" s="85">
        <f t="shared" si="27"/>
        <v>0</v>
      </c>
      <c r="G218" s="85">
        <f t="shared" si="27"/>
        <v>0</v>
      </c>
      <c r="H218" s="85">
        <f t="shared" si="27"/>
        <v>0</v>
      </c>
      <c r="I218" s="85">
        <f t="shared" si="27"/>
        <v>0</v>
      </c>
      <c r="J218" s="85">
        <f t="shared" si="27"/>
        <v>0</v>
      </c>
      <c r="K218" s="85">
        <f t="shared" si="27"/>
        <v>0</v>
      </c>
      <c r="L218" s="128">
        <f t="shared" si="27"/>
        <v>0</v>
      </c>
      <c r="M218" s="114">
        <f t="shared" si="27"/>
        <v>3104427.62</v>
      </c>
      <c r="N218" s="129">
        <f t="shared" si="27"/>
        <v>3104427.62</v>
      </c>
    </row>
    <row r="219" spans="1:14" ht="15.75" customHeight="1" thickBot="1" x14ac:dyDescent="0.3"/>
    <row r="220" spans="1:14" ht="30" customHeight="1" thickBot="1" x14ac:dyDescent="0.3">
      <c r="A220" s="172" t="s">
        <v>49</v>
      </c>
      <c r="B220" s="173"/>
      <c r="C220" s="173"/>
      <c r="D220" s="173"/>
      <c r="E220" s="173"/>
      <c r="F220" s="171"/>
      <c r="G220" s="175" t="str">
        <f>"INTERNAÇÕES - "&amp; '[1]intern. diaria convenio'!$J$42</f>
        <v>INTERNAÇÕES - 524</v>
      </c>
      <c r="H220" s="173"/>
      <c r="I220" s="176"/>
      <c r="J220" s="173"/>
      <c r="K220" s="175" t="str">
        <f>"DIÁRIAS - " &amp; '[1]intern. diaria convenio'!$J$88</f>
        <v>DIÁRIAS - 4920</v>
      </c>
      <c r="L220" s="173"/>
      <c r="M220" s="134"/>
      <c r="N220" s="135"/>
    </row>
    <row r="221" spans="1:14" ht="15" customHeight="1" thickBot="1" x14ac:dyDescent="0.3">
      <c r="A221" s="168" t="s">
        <v>2</v>
      </c>
      <c r="B221" s="174" t="s">
        <v>3</v>
      </c>
      <c r="C221" s="173"/>
      <c r="D221" s="173"/>
      <c r="E221" s="171"/>
      <c r="F221" s="170" t="s">
        <v>4</v>
      </c>
      <c r="G221" s="171"/>
      <c r="H221" s="170" t="s">
        <v>5</v>
      </c>
      <c r="I221" s="171"/>
      <c r="J221" s="170" t="s">
        <v>6</v>
      </c>
      <c r="K221" s="171"/>
      <c r="L221" s="117" t="s">
        <v>7</v>
      </c>
      <c r="M221" s="116" t="s">
        <v>8</v>
      </c>
      <c r="N221" s="118" t="s">
        <v>9</v>
      </c>
    </row>
    <row r="222" spans="1:14" ht="15.75" customHeight="1" thickBot="1" x14ac:dyDescent="0.3">
      <c r="A222" s="169"/>
      <c r="B222" s="122" t="s">
        <v>10</v>
      </c>
      <c r="C222" s="116" t="s">
        <v>11</v>
      </c>
      <c r="D222" s="122" t="s">
        <v>12</v>
      </c>
      <c r="E222" s="116" t="s">
        <v>13</v>
      </c>
      <c r="F222" s="109" t="s">
        <v>14</v>
      </c>
      <c r="G222" s="110" t="s">
        <v>15</v>
      </c>
      <c r="H222" s="109" t="s">
        <v>14</v>
      </c>
      <c r="I222" s="110" t="s">
        <v>15</v>
      </c>
      <c r="J222" s="109" t="s">
        <v>14</v>
      </c>
      <c r="K222" s="110" t="s">
        <v>15</v>
      </c>
      <c r="L222" s="116" t="s">
        <v>14</v>
      </c>
      <c r="M222" s="119" t="s">
        <v>15</v>
      </c>
      <c r="N222" s="120" t="s">
        <v>16</v>
      </c>
    </row>
    <row r="223" spans="1:14" ht="15.75" customHeight="1" x14ac:dyDescent="0.25">
      <c r="A223" s="123" t="s">
        <v>17</v>
      </c>
      <c r="B223" s="154"/>
      <c r="C223" s="155">
        <v>48</v>
      </c>
      <c r="D223" s="155"/>
      <c r="E223" s="156">
        <v>2</v>
      </c>
      <c r="F223" s="71"/>
      <c r="G223" s="67"/>
      <c r="H223" s="67"/>
      <c r="I223" s="67"/>
      <c r="J223" s="67"/>
      <c r="K223" s="111"/>
      <c r="L223" s="143">
        <f t="shared" ref="L223:L248" si="28">F223+H223+J223</f>
        <v>0</v>
      </c>
      <c r="M223" s="142">
        <v>148438.62</v>
      </c>
      <c r="N223" s="78">
        <f t="shared" ref="N223:N248" si="29">M223-L223</f>
        <v>148438.62</v>
      </c>
    </row>
    <row r="224" spans="1:14" ht="15.75" customHeight="1" x14ac:dyDescent="0.25">
      <c r="A224" s="124" t="s">
        <v>18</v>
      </c>
      <c r="B224" s="157"/>
      <c r="C224" s="141">
        <v>6</v>
      </c>
      <c r="D224" s="141"/>
      <c r="E224" s="150"/>
      <c r="F224" s="71"/>
      <c r="G224" s="67"/>
      <c r="H224" s="67"/>
      <c r="I224" s="67"/>
      <c r="J224" s="67"/>
      <c r="K224" s="111"/>
      <c r="L224" s="68">
        <f t="shared" si="28"/>
        <v>0</v>
      </c>
      <c r="M224" s="72">
        <v>9038</v>
      </c>
      <c r="N224" s="78">
        <f t="shared" si="29"/>
        <v>9038</v>
      </c>
    </row>
    <row r="225" spans="1:14" ht="15.75" customHeight="1" x14ac:dyDescent="0.25">
      <c r="A225" s="124" t="s">
        <v>19</v>
      </c>
      <c r="B225" s="157"/>
      <c r="C225" s="141"/>
      <c r="D225" s="141"/>
      <c r="E225" s="150"/>
      <c r="F225" s="71"/>
      <c r="G225" s="67"/>
      <c r="H225" s="67"/>
      <c r="I225" s="67"/>
      <c r="J225" s="67"/>
      <c r="K225" s="111"/>
      <c r="L225" s="68">
        <f t="shared" si="28"/>
        <v>0</v>
      </c>
      <c r="M225" s="72">
        <f>G225+I225+K225</f>
        <v>0</v>
      </c>
      <c r="N225" s="78">
        <f t="shared" si="29"/>
        <v>0</v>
      </c>
    </row>
    <row r="226" spans="1:14" ht="15.75" customHeight="1" x14ac:dyDescent="0.25">
      <c r="A226" s="124" t="s">
        <v>20</v>
      </c>
      <c r="B226" s="157"/>
      <c r="C226" s="141">
        <v>8</v>
      </c>
      <c r="D226" s="141"/>
      <c r="E226" s="150"/>
      <c r="F226" s="71"/>
      <c r="G226" s="67"/>
      <c r="H226" s="67"/>
      <c r="I226" s="67"/>
      <c r="J226" s="67"/>
      <c r="K226" s="111"/>
      <c r="L226" s="68">
        <f t="shared" si="28"/>
        <v>0</v>
      </c>
      <c r="M226" s="72">
        <v>47232.97</v>
      </c>
      <c r="N226" s="78">
        <f t="shared" si="29"/>
        <v>47232.97</v>
      </c>
    </row>
    <row r="227" spans="1:14" ht="15.75" customHeight="1" x14ac:dyDescent="0.25">
      <c r="A227" s="124" t="s">
        <v>21</v>
      </c>
      <c r="B227" s="157">
        <v>10</v>
      </c>
      <c r="C227" s="141"/>
      <c r="D227" s="141"/>
      <c r="E227" s="150">
        <v>7</v>
      </c>
      <c r="F227" s="71"/>
      <c r="G227" s="67"/>
      <c r="H227" s="67"/>
      <c r="I227" s="67"/>
      <c r="J227" s="67"/>
      <c r="K227" s="111"/>
      <c r="L227" s="68">
        <f t="shared" si="28"/>
        <v>0</v>
      </c>
      <c r="M227" s="72">
        <f t="shared" ref="M227:M241" si="30">SUM(G227,I227,K227)</f>
        <v>0</v>
      </c>
      <c r="N227" s="78">
        <f t="shared" si="29"/>
        <v>0</v>
      </c>
    </row>
    <row r="228" spans="1:14" ht="15.75" customHeight="1" x14ac:dyDescent="0.25">
      <c r="A228" s="124" t="s">
        <v>22</v>
      </c>
      <c r="B228" s="157">
        <v>4</v>
      </c>
      <c r="C228" s="141"/>
      <c r="D228" s="141"/>
      <c r="E228" s="150"/>
      <c r="F228" s="71"/>
      <c r="G228" s="67"/>
      <c r="H228" s="67"/>
      <c r="I228" s="67"/>
      <c r="J228" s="67"/>
      <c r="K228" s="111"/>
      <c r="L228" s="68">
        <f t="shared" si="28"/>
        <v>0</v>
      </c>
      <c r="M228" s="72">
        <f t="shared" si="30"/>
        <v>0</v>
      </c>
      <c r="N228" s="78">
        <f t="shared" si="29"/>
        <v>0</v>
      </c>
    </row>
    <row r="229" spans="1:14" ht="15.75" customHeight="1" x14ac:dyDescent="0.25">
      <c r="A229" s="125" t="s">
        <v>23</v>
      </c>
      <c r="B229" s="157"/>
      <c r="C229" s="141"/>
      <c r="D229" s="141"/>
      <c r="E229" s="150"/>
      <c r="F229" s="71"/>
      <c r="G229" s="67"/>
      <c r="H229" s="67"/>
      <c r="I229" s="67"/>
      <c r="J229" s="67"/>
      <c r="K229" s="111"/>
      <c r="L229" s="68">
        <f t="shared" si="28"/>
        <v>0</v>
      </c>
      <c r="M229" s="72">
        <f t="shared" si="30"/>
        <v>0</v>
      </c>
      <c r="N229" s="78">
        <f t="shared" si="29"/>
        <v>0</v>
      </c>
    </row>
    <row r="230" spans="1:14" ht="15.75" customHeight="1" x14ac:dyDescent="0.25">
      <c r="A230" s="124" t="s">
        <v>24</v>
      </c>
      <c r="B230" s="157">
        <v>69</v>
      </c>
      <c r="C230" s="141"/>
      <c r="D230" s="141"/>
      <c r="E230" s="150"/>
      <c r="F230" s="71"/>
      <c r="G230" s="67"/>
      <c r="H230" s="67"/>
      <c r="I230" s="67"/>
      <c r="J230" s="67"/>
      <c r="K230" s="111"/>
      <c r="L230" s="68">
        <f t="shared" si="28"/>
        <v>0</v>
      </c>
      <c r="M230" s="72">
        <f t="shared" si="30"/>
        <v>0</v>
      </c>
      <c r="N230" s="78">
        <f t="shared" si="29"/>
        <v>0</v>
      </c>
    </row>
    <row r="231" spans="1:14" ht="15.75" customHeight="1" x14ac:dyDescent="0.25">
      <c r="A231" s="124" t="s">
        <v>25</v>
      </c>
      <c r="B231" s="157"/>
      <c r="C231" s="141">
        <v>47</v>
      </c>
      <c r="D231" s="141"/>
      <c r="E231" s="150"/>
      <c r="F231" s="71"/>
      <c r="G231" s="67"/>
      <c r="H231" s="67"/>
      <c r="I231" s="67"/>
      <c r="J231" s="67"/>
      <c r="K231" s="111"/>
      <c r="L231" s="68">
        <f t="shared" si="28"/>
        <v>0</v>
      </c>
      <c r="M231" s="72">
        <f t="shared" si="30"/>
        <v>0</v>
      </c>
      <c r="N231" s="78">
        <f t="shared" si="29"/>
        <v>0</v>
      </c>
    </row>
    <row r="232" spans="1:14" ht="15.75" customHeight="1" x14ac:dyDescent="0.25">
      <c r="A232" s="124" t="s">
        <v>26</v>
      </c>
      <c r="B232" s="157"/>
      <c r="C232" s="141"/>
      <c r="D232" s="141"/>
      <c r="E232" s="150"/>
      <c r="G232" s="67"/>
      <c r="H232" s="67"/>
      <c r="I232" s="67"/>
      <c r="J232" s="71"/>
      <c r="K232" s="111"/>
      <c r="L232" s="68">
        <f t="shared" si="28"/>
        <v>0</v>
      </c>
      <c r="M232" s="72">
        <f t="shared" si="30"/>
        <v>0</v>
      </c>
      <c r="N232" s="78">
        <f t="shared" si="29"/>
        <v>0</v>
      </c>
    </row>
    <row r="233" spans="1:14" ht="15.75" customHeight="1" x14ac:dyDescent="0.25">
      <c r="A233" s="124" t="s">
        <v>27</v>
      </c>
      <c r="B233" s="157">
        <v>45</v>
      </c>
      <c r="C233" s="141"/>
      <c r="D233" s="141">
        <v>3</v>
      </c>
      <c r="E233" s="150"/>
      <c r="F233" s="71"/>
      <c r="G233" s="67"/>
      <c r="H233" s="67"/>
      <c r="I233" s="67"/>
      <c r="J233" s="67"/>
      <c r="K233" s="111"/>
      <c r="L233" s="68">
        <f t="shared" si="28"/>
        <v>0</v>
      </c>
      <c r="M233" s="72">
        <f t="shared" si="30"/>
        <v>0</v>
      </c>
      <c r="N233" s="78">
        <f t="shared" si="29"/>
        <v>0</v>
      </c>
    </row>
    <row r="234" spans="1:14" ht="15.75" customHeight="1" x14ac:dyDescent="0.25">
      <c r="A234" s="124" t="s">
        <v>28</v>
      </c>
      <c r="B234" s="157"/>
      <c r="C234" s="141"/>
      <c r="D234" s="141"/>
      <c r="E234" s="150"/>
      <c r="F234" s="71"/>
      <c r="G234" s="67"/>
      <c r="H234" s="67"/>
      <c r="I234" s="67"/>
      <c r="J234" s="67"/>
      <c r="K234" s="111"/>
      <c r="L234" s="68">
        <f t="shared" si="28"/>
        <v>0</v>
      </c>
      <c r="M234" s="72">
        <f t="shared" si="30"/>
        <v>0</v>
      </c>
      <c r="N234" s="78">
        <f t="shared" si="29"/>
        <v>0</v>
      </c>
    </row>
    <row r="235" spans="1:14" ht="15.75" customHeight="1" x14ac:dyDescent="0.25">
      <c r="A235" s="124" t="s">
        <v>29</v>
      </c>
      <c r="B235" s="157">
        <v>484</v>
      </c>
      <c r="C235" s="141">
        <v>163</v>
      </c>
      <c r="D235" s="141">
        <v>41</v>
      </c>
      <c r="E235" s="150">
        <v>33</v>
      </c>
      <c r="F235" s="71"/>
      <c r="G235" s="67"/>
      <c r="H235" s="67"/>
      <c r="I235" s="67"/>
      <c r="J235" s="67"/>
      <c r="K235" s="111"/>
      <c r="L235" s="68">
        <f t="shared" si="28"/>
        <v>0</v>
      </c>
      <c r="M235" s="72">
        <f t="shared" si="30"/>
        <v>0</v>
      </c>
      <c r="N235" s="78">
        <f t="shared" si="29"/>
        <v>0</v>
      </c>
    </row>
    <row r="236" spans="1:14" ht="15.75" customHeight="1" x14ac:dyDescent="0.25">
      <c r="A236" s="124" t="s">
        <v>30</v>
      </c>
      <c r="B236" s="157"/>
      <c r="C236" s="141"/>
      <c r="D236" s="141"/>
      <c r="E236" s="150"/>
      <c r="F236" s="71"/>
      <c r="G236" s="67"/>
      <c r="H236" s="67"/>
      <c r="I236" s="67"/>
      <c r="J236" s="67"/>
      <c r="K236" s="111"/>
      <c r="L236" s="68">
        <f t="shared" si="28"/>
        <v>0</v>
      </c>
      <c r="M236" s="72">
        <f t="shared" si="30"/>
        <v>0</v>
      </c>
      <c r="N236" s="78">
        <f t="shared" si="29"/>
        <v>0</v>
      </c>
    </row>
    <row r="237" spans="1:14" ht="15.75" customHeight="1" x14ac:dyDescent="0.25">
      <c r="A237" s="124" t="s">
        <v>31</v>
      </c>
      <c r="B237" s="157"/>
      <c r="C237" s="141"/>
      <c r="D237" s="141"/>
      <c r="E237" s="150"/>
      <c r="F237" s="71"/>
      <c r="G237" s="71"/>
      <c r="H237" s="71"/>
      <c r="I237" s="71"/>
      <c r="J237" s="71"/>
      <c r="K237" s="112"/>
      <c r="L237" s="68">
        <f t="shared" si="28"/>
        <v>0</v>
      </c>
      <c r="M237" s="72">
        <f t="shared" si="30"/>
        <v>0</v>
      </c>
      <c r="N237" s="78">
        <f t="shared" si="29"/>
        <v>0</v>
      </c>
    </row>
    <row r="238" spans="1:14" ht="15.75" customHeight="1" x14ac:dyDescent="0.25">
      <c r="A238" s="124" t="s">
        <v>32</v>
      </c>
      <c r="B238" s="157">
        <v>67</v>
      </c>
      <c r="C238" s="141">
        <v>14</v>
      </c>
      <c r="D238" s="141"/>
      <c r="E238" s="150">
        <v>1</v>
      </c>
      <c r="F238" s="71"/>
      <c r="G238" s="67"/>
      <c r="H238" s="67"/>
      <c r="I238" s="67"/>
      <c r="J238" s="67"/>
      <c r="K238" s="111"/>
      <c r="L238" s="68">
        <f t="shared" si="28"/>
        <v>0</v>
      </c>
      <c r="M238" s="72">
        <f t="shared" si="30"/>
        <v>0</v>
      </c>
      <c r="N238" s="78">
        <f t="shared" si="29"/>
        <v>0</v>
      </c>
    </row>
    <row r="239" spans="1:14" ht="15.75" customHeight="1" x14ac:dyDescent="0.25">
      <c r="A239" s="125" t="s">
        <v>33</v>
      </c>
      <c r="B239" s="157"/>
      <c r="C239" s="141"/>
      <c r="D239" s="141"/>
      <c r="E239" s="150"/>
      <c r="F239" s="71"/>
      <c r="G239" s="67"/>
      <c r="H239" s="67"/>
      <c r="I239" s="67"/>
      <c r="J239" s="67"/>
      <c r="K239" s="111"/>
      <c r="L239" s="68">
        <f t="shared" si="28"/>
        <v>0</v>
      </c>
      <c r="M239" s="72">
        <f t="shared" si="30"/>
        <v>0</v>
      </c>
      <c r="N239" s="78">
        <f t="shared" si="29"/>
        <v>0</v>
      </c>
    </row>
    <row r="240" spans="1:14" ht="15.75" customHeight="1" x14ac:dyDescent="0.25">
      <c r="A240" s="124" t="s">
        <v>34</v>
      </c>
      <c r="B240" s="157"/>
      <c r="C240" s="141"/>
      <c r="D240" s="141"/>
      <c r="E240" s="150"/>
      <c r="F240" s="71"/>
      <c r="G240" s="67"/>
      <c r="H240" s="67"/>
      <c r="I240" s="67"/>
      <c r="J240" s="67"/>
      <c r="K240" s="111"/>
      <c r="L240" s="68">
        <f t="shared" si="28"/>
        <v>0</v>
      </c>
      <c r="M240" s="72">
        <f t="shared" si="30"/>
        <v>0</v>
      </c>
      <c r="N240" s="78">
        <f t="shared" si="29"/>
        <v>0</v>
      </c>
    </row>
    <row r="241" spans="1:14" ht="15.75" customHeight="1" x14ac:dyDescent="0.25">
      <c r="A241" s="124" t="s">
        <v>35</v>
      </c>
      <c r="B241" s="157"/>
      <c r="C241" s="141"/>
      <c r="D241" s="141"/>
      <c r="E241" s="150"/>
      <c r="F241" s="71"/>
      <c r="G241" s="67"/>
      <c r="H241" s="67"/>
      <c r="I241" s="67"/>
      <c r="J241" s="67"/>
      <c r="K241" s="111"/>
      <c r="L241" s="68">
        <f t="shared" si="28"/>
        <v>0</v>
      </c>
      <c r="M241" s="72">
        <f t="shared" si="30"/>
        <v>0</v>
      </c>
      <c r="N241" s="78">
        <f t="shared" si="29"/>
        <v>0</v>
      </c>
    </row>
    <row r="242" spans="1:14" ht="15.75" customHeight="1" x14ac:dyDescent="0.25">
      <c r="A242" s="124" t="s">
        <v>36</v>
      </c>
      <c r="B242" s="157"/>
      <c r="C242" s="141">
        <v>425</v>
      </c>
      <c r="D242" s="141">
        <v>49</v>
      </c>
      <c r="E242" s="150">
        <v>8</v>
      </c>
      <c r="F242" s="71"/>
      <c r="G242" s="67"/>
      <c r="H242" s="67"/>
      <c r="I242" s="67"/>
      <c r="J242" s="67"/>
      <c r="K242" s="111"/>
      <c r="L242" s="68">
        <f t="shared" si="28"/>
        <v>0</v>
      </c>
      <c r="M242" s="72">
        <v>400000</v>
      </c>
      <c r="N242" s="78">
        <f t="shared" si="29"/>
        <v>400000</v>
      </c>
    </row>
    <row r="243" spans="1:14" ht="15.75" customHeight="1" x14ac:dyDescent="0.25">
      <c r="A243" s="125" t="s">
        <v>37</v>
      </c>
      <c r="B243" s="157"/>
      <c r="C243" s="141"/>
      <c r="D243" s="141"/>
      <c r="E243" s="150"/>
      <c r="F243" s="108"/>
      <c r="G243" s="67"/>
      <c r="H243" s="67"/>
      <c r="I243" s="67"/>
      <c r="J243" s="67"/>
      <c r="K243" s="111"/>
      <c r="L243" s="68">
        <f t="shared" si="28"/>
        <v>0</v>
      </c>
      <c r="M243" s="145">
        <f>G243+I243+K243</f>
        <v>0</v>
      </c>
      <c r="N243" s="78">
        <f t="shared" si="29"/>
        <v>0</v>
      </c>
    </row>
    <row r="244" spans="1:14" ht="15.75" customHeight="1" x14ac:dyDescent="0.25">
      <c r="A244" s="124" t="s">
        <v>38</v>
      </c>
      <c r="B244" s="157">
        <v>25</v>
      </c>
      <c r="C244" s="141">
        <v>3</v>
      </c>
      <c r="D244" s="141"/>
      <c r="E244" s="150"/>
      <c r="F244" s="71"/>
      <c r="G244" s="67"/>
      <c r="H244" s="71"/>
      <c r="I244" s="67"/>
      <c r="J244" s="67"/>
      <c r="K244" s="111"/>
      <c r="L244" s="68">
        <f t="shared" si="28"/>
        <v>0</v>
      </c>
      <c r="M244" s="72">
        <v>4296.6000000000004</v>
      </c>
      <c r="N244" s="78">
        <f t="shared" si="29"/>
        <v>4296.6000000000004</v>
      </c>
    </row>
    <row r="245" spans="1:14" ht="15.75" customHeight="1" x14ac:dyDescent="0.25">
      <c r="A245" s="124" t="s">
        <v>39</v>
      </c>
      <c r="B245" s="157"/>
      <c r="C245" s="141"/>
      <c r="D245" s="141"/>
      <c r="E245" s="150"/>
      <c r="F245" s="71"/>
      <c r="G245" s="67"/>
      <c r="H245" s="67"/>
      <c r="I245" s="67"/>
      <c r="J245" s="67"/>
      <c r="K245" s="111"/>
      <c r="L245" s="68">
        <f t="shared" si="28"/>
        <v>0</v>
      </c>
      <c r="M245" s="72">
        <f>G245+I245+K245</f>
        <v>0</v>
      </c>
      <c r="N245" s="78">
        <f t="shared" si="29"/>
        <v>0</v>
      </c>
    </row>
    <row r="246" spans="1:14" ht="15.75" customHeight="1" x14ac:dyDescent="0.25">
      <c r="A246" s="124" t="s">
        <v>40</v>
      </c>
      <c r="B246" s="157"/>
      <c r="C246" s="141">
        <v>2352</v>
      </c>
      <c r="D246" s="141">
        <v>255</v>
      </c>
      <c r="E246" s="150">
        <v>249</v>
      </c>
      <c r="F246" s="71"/>
      <c r="G246" s="67"/>
      <c r="H246" s="67"/>
      <c r="I246" s="67"/>
      <c r="J246" s="67"/>
      <c r="K246" s="111"/>
      <c r="L246" s="68">
        <f t="shared" si="28"/>
        <v>0</v>
      </c>
      <c r="M246" s="72">
        <v>2671092.11</v>
      </c>
      <c r="N246" s="78">
        <f t="shared" si="29"/>
        <v>2671092.11</v>
      </c>
    </row>
    <row r="247" spans="1:14" ht="15.75" customHeight="1" x14ac:dyDescent="0.25">
      <c r="A247" s="124" t="s">
        <v>41</v>
      </c>
      <c r="B247" s="157"/>
      <c r="C247" s="141"/>
      <c r="D247" s="141"/>
      <c r="E247" s="150"/>
      <c r="F247" s="71"/>
      <c r="G247" s="67"/>
      <c r="H247" s="67"/>
      <c r="I247" s="67"/>
      <c r="J247" s="67"/>
      <c r="K247" s="111"/>
      <c r="L247" s="68">
        <f t="shared" si="28"/>
        <v>0</v>
      </c>
      <c r="M247" s="145">
        <f>G247+I247+K247</f>
        <v>0</v>
      </c>
      <c r="N247" s="78">
        <f t="shared" si="29"/>
        <v>0</v>
      </c>
    </row>
    <row r="248" spans="1:14" ht="16.5" customHeight="1" thickBot="1" x14ac:dyDescent="0.3">
      <c r="A248" s="126" t="s">
        <v>42</v>
      </c>
      <c r="B248" s="158">
        <v>124</v>
      </c>
      <c r="C248" s="159">
        <v>104</v>
      </c>
      <c r="D248" s="159">
        <v>4</v>
      </c>
      <c r="E248" s="160">
        <v>9</v>
      </c>
      <c r="F248" s="71"/>
      <c r="G248" s="67"/>
      <c r="H248" s="69"/>
      <c r="I248" s="69"/>
      <c r="J248" s="69"/>
      <c r="K248" s="113"/>
      <c r="L248" s="74">
        <f t="shared" si="28"/>
        <v>0</v>
      </c>
      <c r="M248" s="73">
        <f>SUM(G248,I248,K248)</f>
        <v>0</v>
      </c>
      <c r="N248" s="80">
        <f t="shared" si="29"/>
        <v>0</v>
      </c>
    </row>
    <row r="249" spans="1:14" ht="30" customHeight="1" thickBot="1" x14ac:dyDescent="0.3">
      <c r="A249" s="121" t="s">
        <v>9</v>
      </c>
      <c r="B249" s="127">
        <f t="shared" ref="B249:N249" si="31">SUM(B223:B248)</f>
        <v>828</v>
      </c>
      <c r="C249" s="127">
        <f t="shared" si="31"/>
        <v>3170</v>
      </c>
      <c r="D249" s="127">
        <f t="shared" si="31"/>
        <v>352</v>
      </c>
      <c r="E249" s="127">
        <f t="shared" si="31"/>
        <v>309</v>
      </c>
      <c r="F249" s="85">
        <f t="shared" si="31"/>
        <v>0</v>
      </c>
      <c r="G249" s="85">
        <f t="shared" si="31"/>
        <v>0</v>
      </c>
      <c r="H249" s="85">
        <f t="shared" si="31"/>
        <v>0</v>
      </c>
      <c r="I249" s="85">
        <f t="shared" si="31"/>
        <v>0</v>
      </c>
      <c r="J249" s="85">
        <f t="shared" si="31"/>
        <v>0</v>
      </c>
      <c r="K249" s="85">
        <f t="shared" si="31"/>
        <v>0</v>
      </c>
      <c r="L249" s="128">
        <f t="shared" si="31"/>
        <v>0</v>
      </c>
      <c r="M249" s="114">
        <f t="shared" si="31"/>
        <v>3280098.3</v>
      </c>
      <c r="N249" s="129">
        <f t="shared" si="31"/>
        <v>3280098.3</v>
      </c>
    </row>
    <row r="250" spans="1:14" ht="15.75" customHeight="1" thickBot="1" x14ac:dyDescent="0.3"/>
    <row r="251" spans="1:14" ht="30" customHeight="1" thickBot="1" x14ac:dyDescent="0.3">
      <c r="A251" s="172" t="s">
        <v>50</v>
      </c>
      <c r="B251" s="173"/>
      <c r="C251" s="173"/>
      <c r="D251" s="173"/>
      <c r="E251" s="173"/>
      <c r="F251" s="171"/>
      <c r="G251" s="175" t="str">
        <f>"INTERNAÇÕES - "&amp; '[1]intern. diaria convenio'!$K$42</f>
        <v>INTERNAÇÕES - 542</v>
      </c>
      <c r="H251" s="173"/>
      <c r="I251" s="176"/>
      <c r="J251" s="173"/>
      <c r="K251" s="175" t="str">
        <f>"DIÁRIAS - " &amp; '[1]intern. diaria convenio'!$K$88</f>
        <v>DIÁRIAS - 4648</v>
      </c>
      <c r="L251" s="173"/>
      <c r="M251" s="134"/>
      <c r="N251" s="135"/>
    </row>
    <row r="252" spans="1:14" ht="15" customHeight="1" thickBot="1" x14ac:dyDescent="0.3">
      <c r="A252" s="168" t="s">
        <v>2</v>
      </c>
      <c r="B252" s="174" t="s">
        <v>3</v>
      </c>
      <c r="C252" s="173"/>
      <c r="D252" s="173"/>
      <c r="E252" s="171"/>
      <c r="F252" s="170" t="s">
        <v>4</v>
      </c>
      <c r="G252" s="171"/>
      <c r="H252" s="170" t="s">
        <v>5</v>
      </c>
      <c r="I252" s="171"/>
      <c r="J252" s="170" t="s">
        <v>6</v>
      </c>
      <c r="K252" s="171"/>
      <c r="L252" s="117" t="s">
        <v>7</v>
      </c>
      <c r="M252" s="116" t="s">
        <v>8</v>
      </c>
      <c r="N252" s="118" t="s">
        <v>9</v>
      </c>
    </row>
    <row r="253" spans="1:14" ht="15.75" customHeight="1" thickBot="1" x14ac:dyDescent="0.3">
      <c r="A253" s="169"/>
      <c r="B253" s="122" t="s">
        <v>10</v>
      </c>
      <c r="C253" s="116" t="s">
        <v>11</v>
      </c>
      <c r="D253" s="122" t="s">
        <v>12</v>
      </c>
      <c r="E253" s="116" t="s">
        <v>13</v>
      </c>
      <c r="F253" s="109" t="s">
        <v>14</v>
      </c>
      <c r="G253" s="110" t="s">
        <v>15</v>
      </c>
      <c r="H253" s="109" t="s">
        <v>14</v>
      </c>
      <c r="I253" s="110" t="s">
        <v>15</v>
      </c>
      <c r="J253" s="109" t="s">
        <v>14</v>
      </c>
      <c r="K253" s="110" t="s">
        <v>15</v>
      </c>
      <c r="L253" s="116" t="s">
        <v>14</v>
      </c>
      <c r="M253" s="119" t="s">
        <v>15</v>
      </c>
      <c r="N253" s="120" t="s">
        <v>16</v>
      </c>
    </row>
    <row r="254" spans="1:14" ht="15.75" customHeight="1" x14ac:dyDescent="0.25">
      <c r="A254" s="123" t="s">
        <v>17</v>
      </c>
      <c r="B254" s="154"/>
      <c r="C254" s="155">
        <v>50</v>
      </c>
      <c r="D254" s="155"/>
      <c r="E254" s="156">
        <v>2</v>
      </c>
      <c r="F254" s="71"/>
      <c r="G254" s="67"/>
      <c r="H254" s="67"/>
      <c r="I254" s="67"/>
      <c r="J254" s="67"/>
      <c r="K254" s="111"/>
      <c r="L254" s="143">
        <f t="shared" ref="L254:L279" si="32">F254+H254+J254</f>
        <v>0</v>
      </c>
      <c r="M254" s="142">
        <v>130853.52</v>
      </c>
      <c r="N254" s="78">
        <f t="shared" ref="N254:N279" si="33">M254-L254</f>
        <v>130853.52</v>
      </c>
    </row>
    <row r="255" spans="1:14" ht="15.75" customHeight="1" x14ac:dyDescent="0.25">
      <c r="A255" s="124" t="s">
        <v>18</v>
      </c>
      <c r="B255" s="157"/>
      <c r="C255" s="141">
        <v>3</v>
      </c>
      <c r="D255" s="141"/>
      <c r="E255" s="150">
        <v>1</v>
      </c>
      <c r="F255" s="71"/>
      <c r="G255" s="67"/>
      <c r="H255" s="67"/>
      <c r="I255" s="67"/>
      <c r="J255" s="67"/>
      <c r="K255" s="111"/>
      <c r="L255" s="68">
        <f t="shared" si="32"/>
        <v>0</v>
      </c>
      <c r="M255" s="72">
        <v>128675.72</v>
      </c>
      <c r="N255" s="78">
        <f t="shared" si="33"/>
        <v>128675.72</v>
      </c>
    </row>
    <row r="256" spans="1:14" ht="15.75" customHeight="1" x14ac:dyDescent="0.25">
      <c r="A256" s="124" t="s">
        <v>19</v>
      </c>
      <c r="B256" s="157"/>
      <c r="C256" s="141"/>
      <c r="D256" s="141"/>
      <c r="E256" s="150"/>
      <c r="F256" s="71"/>
      <c r="G256" s="67"/>
      <c r="H256" s="67"/>
      <c r="I256" s="67"/>
      <c r="J256" s="67"/>
      <c r="K256" s="111"/>
      <c r="L256" s="68">
        <f t="shared" si="32"/>
        <v>0</v>
      </c>
      <c r="M256" s="72">
        <f>G256+I256+K256</f>
        <v>0</v>
      </c>
      <c r="N256" s="78">
        <f t="shared" si="33"/>
        <v>0</v>
      </c>
    </row>
    <row r="257" spans="1:14" ht="15.75" customHeight="1" x14ac:dyDescent="0.25">
      <c r="A257" s="124" t="s">
        <v>20</v>
      </c>
      <c r="B257" s="157"/>
      <c r="C257" s="141">
        <v>2</v>
      </c>
      <c r="D257" s="141"/>
      <c r="E257" s="150"/>
      <c r="F257" s="71"/>
      <c r="G257" s="67"/>
      <c r="H257" s="67"/>
      <c r="I257" s="67"/>
      <c r="J257" s="67"/>
      <c r="K257" s="111"/>
      <c r="L257" s="68">
        <f t="shared" si="32"/>
        <v>0</v>
      </c>
      <c r="M257" s="72">
        <v>42056.36</v>
      </c>
      <c r="N257" s="78">
        <f t="shared" si="33"/>
        <v>42056.36</v>
      </c>
    </row>
    <row r="258" spans="1:14" ht="15.75" customHeight="1" x14ac:dyDescent="0.25">
      <c r="A258" s="124" t="s">
        <v>21</v>
      </c>
      <c r="B258" s="157">
        <v>11</v>
      </c>
      <c r="C258" s="141"/>
      <c r="D258" s="141"/>
      <c r="E258" s="150"/>
      <c r="F258" s="71"/>
      <c r="G258" s="67"/>
      <c r="H258" s="67"/>
      <c r="I258" s="67"/>
      <c r="J258" s="67"/>
      <c r="K258" s="111"/>
      <c r="L258" s="68">
        <f t="shared" si="32"/>
        <v>0</v>
      </c>
      <c r="M258" s="72">
        <f t="shared" ref="M258:M272" si="34">SUM(G258,I258,K258)</f>
        <v>0</v>
      </c>
      <c r="N258" s="78">
        <f t="shared" si="33"/>
        <v>0</v>
      </c>
    </row>
    <row r="259" spans="1:14" ht="15.75" customHeight="1" x14ac:dyDescent="0.25">
      <c r="A259" s="124" t="s">
        <v>22</v>
      </c>
      <c r="B259" s="157">
        <v>1</v>
      </c>
      <c r="C259" s="141"/>
      <c r="D259" s="141"/>
      <c r="E259" s="150"/>
      <c r="F259" s="71"/>
      <c r="G259" s="67"/>
      <c r="H259" s="67"/>
      <c r="I259" s="67"/>
      <c r="J259" s="67"/>
      <c r="K259" s="111"/>
      <c r="L259" s="68">
        <f t="shared" si="32"/>
        <v>0</v>
      </c>
      <c r="M259" s="72">
        <f t="shared" si="34"/>
        <v>0</v>
      </c>
      <c r="N259" s="78">
        <f t="shared" si="33"/>
        <v>0</v>
      </c>
    </row>
    <row r="260" spans="1:14" ht="15.75" customHeight="1" x14ac:dyDescent="0.25">
      <c r="A260" s="125" t="s">
        <v>23</v>
      </c>
      <c r="B260" s="157"/>
      <c r="C260" s="141"/>
      <c r="D260" s="141"/>
      <c r="E260" s="150"/>
      <c r="F260" s="71"/>
      <c r="G260" s="67"/>
      <c r="H260" s="67"/>
      <c r="I260" s="67"/>
      <c r="J260" s="67"/>
      <c r="K260" s="111"/>
      <c r="L260" s="68">
        <f t="shared" si="32"/>
        <v>0</v>
      </c>
      <c r="M260" s="72">
        <f t="shared" si="34"/>
        <v>0</v>
      </c>
      <c r="N260" s="78">
        <f t="shared" si="33"/>
        <v>0</v>
      </c>
    </row>
    <row r="261" spans="1:14" ht="15.75" customHeight="1" x14ac:dyDescent="0.25">
      <c r="A261" s="124" t="s">
        <v>24</v>
      </c>
      <c r="B261" s="157">
        <v>44</v>
      </c>
      <c r="C261" s="141"/>
      <c r="D261" s="141"/>
      <c r="E261" s="150"/>
      <c r="F261" s="71"/>
      <c r="G261" s="67"/>
      <c r="H261" s="67"/>
      <c r="I261" s="67"/>
      <c r="J261" s="67"/>
      <c r="K261" s="111"/>
      <c r="L261" s="68">
        <f t="shared" si="32"/>
        <v>0</v>
      </c>
      <c r="M261" s="72">
        <f t="shared" si="34"/>
        <v>0</v>
      </c>
      <c r="N261" s="78">
        <f t="shared" si="33"/>
        <v>0</v>
      </c>
    </row>
    <row r="262" spans="1:14" ht="15.75" customHeight="1" x14ac:dyDescent="0.25">
      <c r="A262" s="124" t="s">
        <v>25</v>
      </c>
      <c r="B262" s="157"/>
      <c r="C262" s="141">
        <v>7</v>
      </c>
      <c r="D262" s="141"/>
      <c r="E262" s="150"/>
      <c r="F262" s="71"/>
      <c r="G262" s="67"/>
      <c r="H262" s="67"/>
      <c r="I262" s="67"/>
      <c r="J262" s="67"/>
      <c r="K262" s="111"/>
      <c r="L262" s="68">
        <f t="shared" si="32"/>
        <v>0</v>
      </c>
      <c r="M262" s="72">
        <f t="shared" si="34"/>
        <v>0</v>
      </c>
      <c r="N262" s="78">
        <f t="shared" si="33"/>
        <v>0</v>
      </c>
    </row>
    <row r="263" spans="1:14" ht="15.75" customHeight="1" x14ac:dyDescent="0.25">
      <c r="A263" s="124" t="s">
        <v>26</v>
      </c>
      <c r="B263" s="157"/>
      <c r="C263" s="141"/>
      <c r="D263" s="141"/>
      <c r="E263" s="150"/>
      <c r="G263" s="67"/>
      <c r="H263" s="67"/>
      <c r="I263" s="67"/>
      <c r="J263" s="71"/>
      <c r="K263" s="111"/>
      <c r="L263" s="68">
        <f t="shared" si="32"/>
        <v>0</v>
      </c>
      <c r="M263" s="72">
        <f t="shared" si="34"/>
        <v>0</v>
      </c>
      <c r="N263" s="78">
        <f t="shared" si="33"/>
        <v>0</v>
      </c>
    </row>
    <row r="264" spans="1:14" ht="15.75" customHeight="1" x14ac:dyDescent="0.25">
      <c r="A264" s="124" t="s">
        <v>27</v>
      </c>
      <c r="B264" s="157">
        <v>16</v>
      </c>
      <c r="C264" s="141">
        <v>3</v>
      </c>
      <c r="D264" s="141"/>
      <c r="E264" s="150"/>
      <c r="F264" s="71"/>
      <c r="G264" s="67"/>
      <c r="H264" s="67"/>
      <c r="I264" s="67"/>
      <c r="J264" s="67"/>
      <c r="K264" s="111"/>
      <c r="L264" s="68">
        <f t="shared" si="32"/>
        <v>0</v>
      </c>
      <c r="M264" s="72">
        <f t="shared" si="34"/>
        <v>0</v>
      </c>
      <c r="N264" s="78">
        <f t="shared" si="33"/>
        <v>0</v>
      </c>
    </row>
    <row r="265" spans="1:14" ht="15.75" customHeight="1" x14ac:dyDescent="0.25">
      <c r="A265" s="124" t="s">
        <v>28</v>
      </c>
      <c r="B265" s="157"/>
      <c r="C265" s="141"/>
      <c r="D265" s="141"/>
      <c r="E265" s="150"/>
      <c r="F265" s="71"/>
      <c r="G265" s="67"/>
      <c r="H265" s="67"/>
      <c r="I265" s="67"/>
      <c r="J265" s="67"/>
      <c r="K265" s="111"/>
      <c r="L265" s="68">
        <f t="shared" si="32"/>
        <v>0</v>
      </c>
      <c r="M265" s="72">
        <f t="shared" si="34"/>
        <v>0</v>
      </c>
      <c r="N265" s="78">
        <f t="shared" si="33"/>
        <v>0</v>
      </c>
    </row>
    <row r="266" spans="1:14" ht="15.75" customHeight="1" x14ac:dyDescent="0.25">
      <c r="A266" s="124" t="s">
        <v>29</v>
      </c>
      <c r="B266" s="157">
        <v>412</v>
      </c>
      <c r="C266" s="141">
        <v>136</v>
      </c>
      <c r="D266" s="141">
        <v>23</v>
      </c>
      <c r="E266" s="150">
        <v>21</v>
      </c>
      <c r="F266" s="71"/>
      <c r="G266" s="67"/>
      <c r="H266" s="67"/>
      <c r="I266" s="67"/>
      <c r="J266" s="67"/>
      <c r="K266" s="111"/>
      <c r="L266" s="68">
        <f t="shared" si="32"/>
        <v>0</v>
      </c>
      <c r="M266" s="72">
        <f t="shared" si="34"/>
        <v>0</v>
      </c>
      <c r="N266" s="78">
        <f t="shared" si="33"/>
        <v>0</v>
      </c>
    </row>
    <row r="267" spans="1:14" ht="15.75" customHeight="1" x14ac:dyDescent="0.25">
      <c r="A267" s="124" t="s">
        <v>30</v>
      </c>
      <c r="B267" s="157"/>
      <c r="C267" s="141"/>
      <c r="D267" s="141"/>
      <c r="E267" s="150"/>
      <c r="F267" s="71"/>
      <c r="G267" s="67"/>
      <c r="H267" s="67"/>
      <c r="I267" s="67"/>
      <c r="J267" s="67"/>
      <c r="K267" s="111"/>
      <c r="L267" s="68">
        <f t="shared" si="32"/>
        <v>0</v>
      </c>
      <c r="M267" s="72">
        <f t="shared" si="34"/>
        <v>0</v>
      </c>
      <c r="N267" s="78">
        <f t="shared" si="33"/>
        <v>0</v>
      </c>
    </row>
    <row r="268" spans="1:14" ht="15.75" customHeight="1" x14ac:dyDescent="0.25">
      <c r="A268" s="124" t="s">
        <v>31</v>
      </c>
      <c r="B268" s="157"/>
      <c r="C268" s="141"/>
      <c r="D268" s="141"/>
      <c r="E268" s="150"/>
      <c r="F268" s="71"/>
      <c r="G268" s="71"/>
      <c r="H268" s="71"/>
      <c r="I268" s="71"/>
      <c r="J268" s="71"/>
      <c r="K268" s="112"/>
      <c r="L268" s="68">
        <f t="shared" si="32"/>
        <v>0</v>
      </c>
      <c r="M268" s="72">
        <f t="shared" si="34"/>
        <v>0</v>
      </c>
      <c r="N268" s="78">
        <f t="shared" si="33"/>
        <v>0</v>
      </c>
    </row>
    <row r="269" spans="1:14" ht="15.75" customHeight="1" x14ac:dyDescent="0.25">
      <c r="A269" s="124" t="s">
        <v>32</v>
      </c>
      <c r="B269" s="157">
        <v>49</v>
      </c>
      <c r="C269" s="141">
        <v>2</v>
      </c>
      <c r="D269" s="141"/>
      <c r="E269" s="150">
        <v>1</v>
      </c>
      <c r="F269" s="71"/>
      <c r="G269" s="71"/>
      <c r="H269" s="71"/>
      <c r="I269" s="71"/>
      <c r="J269" s="71"/>
      <c r="K269" s="112"/>
      <c r="L269" s="68">
        <f t="shared" si="32"/>
        <v>0</v>
      </c>
      <c r="M269" s="72">
        <f t="shared" si="34"/>
        <v>0</v>
      </c>
      <c r="N269" s="78">
        <f t="shared" si="33"/>
        <v>0</v>
      </c>
    </row>
    <row r="270" spans="1:14" ht="15.75" customHeight="1" x14ac:dyDescent="0.25">
      <c r="A270" s="125" t="s">
        <v>33</v>
      </c>
      <c r="B270" s="157"/>
      <c r="C270" s="141"/>
      <c r="D270" s="141"/>
      <c r="E270" s="150"/>
      <c r="F270" s="71"/>
      <c r="G270" s="67"/>
      <c r="H270" s="67"/>
      <c r="I270" s="67"/>
      <c r="J270" s="67"/>
      <c r="K270" s="111"/>
      <c r="L270" s="68">
        <f t="shared" si="32"/>
        <v>0</v>
      </c>
      <c r="M270" s="72">
        <f t="shared" si="34"/>
        <v>0</v>
      </c>
      <c r="N270" s="78">
        <f t="shared" si="33"/>
        <v>0</v>
      </c>
    </row>
    <row r="271" spans="1:14" ht="15.75" customHeight="1" x14ac:dyDescent="0.25">
      <c r="A271" s="124" t="s">
        <v>34</v>
      </c>
      <c r="B271" s="157"/>
      <c r="C271" s="141"/>
      <c r="D271" s="141"/>
      <c r="E271" s="150"/>
      <c r="F271" s="71"/>
      <c r="G271" s="67"/>
      <c r="H271" s="67"/>
      <c r="I271" s="67"/>
      <c r="J271" s="67"/>
      <c r="K271" s="111"/>
      <c r="L271" s="68">
        <f t="shared" si="32"/>
        <v>0</v>
      </c>
      <c r="M271" s="72">
        <f t="shared" si="34"/>
        <v>0</v>
      </c>
      <c r="N271" s="78">
        <f t="shared" si="33"/>
        <v>0</v>
      </c>
    </row>
    <row r="272" spans="1:14" ht="15.75" customHeight="1" x14ac:dyDescent="0.25">
      <c r="A272" s="124" t="s">
        <v>35</v>
      </c>
      <c r="B272" s="157">
        <v>6</v>
      </c>
      <c r="C272" s="141"/>
      <c r="D272" s="141"/>
      <c r="E272" s="150"/>
      <c r="F272" s="71"/>
      <c r="G272" s="67"/>
      <c r="H272" s="67"/>
      <c r="I272" s="67"/>
      <c r="J272" s="67"/>
      <c r="K272" s="111"/>
      <c r="L272" s="68">
        <f t="shared" si="32"/>
        <v>0</v>
      </c>
      <c r="M272" s="72">
        <f t="shared" si="34"/>
        <v>0</v>
      </c>
      <c r="N272" s="78">
        <f t="shared" si="33"/>
        <v>0</v>
      </c>
    </row>
    <row r="273" spans="1:14" ht="15.75" customHeight="1" x14ac:dyDescent="0.25">
      <c r="A273" s="124" t="s">
        <v>36</v>
      </c>
      <c r="B273" s="157">
        <v>4</v>
      </c>
      <c r="C273" s="141">
        <v>275</v>
      </c>
      <c r="D273" s="141">
        <v>17</v>
      </c>
      <c r="E273" s="150"/>
      <c r="F273" s="71"/>
      <c r="G273" s="67"/>
      <c r="H273" s="67"/>
      <c r="I273" s="67"/>
      <c r="J273" s="67"/>
      <c r="K273" s="111"/>
      <c r="L273" s="68">
        <f t="shared" si="32"/>
        <v>0</v>
      </c>
      <c r="M273" s="72">
        <v>400000</v>
      </c>
      <c r="N273" s="78">
        <f t="shared" si="33"/>
        <v>400000</v>
      </c>
    </row>
    <row r="274" spans="1:14" ht="15.75" customHeight="1" x14ac:dyDescent="0.25">
      <c r="A274" s="125" t="s">
        <v>37</v>
      </c>
      <c r="B274" s="157"/>
      <c r="C274" s="141"/>
      <c r="D274" s="141"/>
      <c r="E274" s="150"/>
      <c r="F274" s="108"/>
      <c r="G274" s="67"/>
      <c r="H274" s="67"/>
      <c r="I274" s="67"/>
      <c r="J274" s="67"/>
      <c r="K274" s="111"/>
      <c r="L274" s="68">
        <f t="shared" si="32"/>
        <v>0</v>
      </c>
      <c r="M274" s="145">
        <f>G274+I274+K274</f>
        <v>0</v>
      </c>
      <c r="N274" s="78">
        <f t="shared" si="33"/>
        <v>0</v>
      </c>
    </row>
    <row r="275" spans="1:14" ht="15.75" customHeight="1" x14ac:dyDescent="0.25">
      <c r="A275" s="124" t="s">
        <v>38</v>
      </c>
      <c r="B275" s="157">
        <v>55</v>
      </c>
      <c r="C275" s="141"/>
      <c r="D275" s="141">
        <v>8</v>
      </c>
      <c r="E275" s="150"/>
      <c r="F275" s="71"/>
      <c r="G275" s="67"/>
      <c r="H275" s="71"/>
      <c r="I275" s="67"/>
      <c r="J275" s="67"/>
      <c r="K275" s="111"/>
      <c r="L275" s="68">
        <f t="shared" si="32"/>
        <v>0</v>
      </c>
      <c r="M275" s="72">
        <v>3081.2</v>
      </c>
      <c r="N275" s="78">
        <f t="shared" si="33"/>
        <v>3081.2</v>
      </c>
    </row>
    <row r="276" spans="1:14" ht="15.75" customHeight="1" x14ac:dyDescent="0.25">
      <c r="A276" s="124" t="s">
        <v>39</v>
      </c>
      <c r="B276" s="157"/>
      <c r="C276" s="141"/>
      <c r="D276" s="141"/>
      <c r="E276" s="150"/>
      <c r="F276" s="71"/>
      <c r="G276" s="67"/>
      <c r="H276" s="67"/>
      <c r="I276" s="67"/>
      <c r="J276" s="67"/>
      <c r="K276" s="111"/>
      <c r="L276" s="68">
        <f t="shared" si="32"/>
        <v>0</v>
      </c>
      <c r="M276" s="72">
        <f>G276+I276+K276</f>
        <v>0</v>
      </c>
      <c r="N276" s="78">
        <f t="shared" si="33"/>
        <v>0</v>
      </c>
    </row>
    <row r="277" spans="1:14" ht="15.75" customHeight="1" x14ac:dyDescent="0.25">
      <c r="A277" s="124" t="s">
        <v>40</v>
      </c>
      <c r="B277" s="157"/>
      <c r="C277" s="141">
        <v>2452</v>
      </c>
      <c r="D277" s="141">
        <v>205</v>
      </c>
      <c r="E277" s="150">
        <v>227</v>
      </c>
      <c r="F277" s="71"/>
      <c r="G277" s="67"/>
      <c r="H277" s="67"/>
      <c r="I277" s="67"/>
      <c r="J277" s="67"/>
      <c r="K277" s="111"/>
      <c r="L277" s="68">
        <f t="shared" si="32"/>
        <v>0</v>
      </c>
      <c r="M277" s="72"/>
      <c r="N277" s="78">
        <f t="shared" si="33"/>
        <v>0</v>
      </c>
    </row>
    <row r="278" spans="1:14" ht="15.75" customHeight="1" x14ac:dyDescent="0.25">
      <c r="A278" s="124" t="s">
        <v>41</v>
      </c>
      <c r="B278" s="157"/>
      <c r="C278" s="141"/>
      <c r="D278" s="141"/>
      <c r="E278" s="150"/>
      <c r="F278" s="71"/>
      <c r="G278" s="67"/>
      <c r="H278" s="67"/>
      <c r="I278" s="67"/>
      <c r="J278" s="67"/>
      <c r="K278" s="111"/>
      <c r="L278" s="68">
        <f t="shared" si="32"/>
        <v>0</v>
      </c>
      <c r="M278" s="72">
        <v>2195960.94</v>
      </c>
      <c r="N278" s="78">
        <f t="shared" si="33"/>
        <v>2195960.94</v>
      </c>
    </row>
    <row r="279" spans="1:14" ht="16.5" customHeight="1" thickBot="1" x14ac:dyDescent="0.3">
      <c r="A279" s="126" t="s">
        <v>42</v>
      </c>
      <c r="B279" s="158">
        <v>200</v>
      </c>
      <c r="C279" s="159">
        <v>168</v>
      </c>
      <c r="D279" s="159"/>
      <c r="E279" s="160">
        <v>12</v>
      </c>
      <c r="F279" s="71"/>
      <c r="G279" s="67"/>
      <c r="H279" s="69"/>
      <c r="I279" s="69"/>
      <c r="J279" s="69"/>
      <c r="K279" s="113"/>
      <c r="L279" s="74">
        <f t="shared" si="32"/>
        <v>0</v>
      </c>
      <c r="M279" s="73">
        <f>SUM(G279,I279,K279)</f>
        <v>0</v>
      </c>
      <c r="N279" s="80">
        <f t="shared" si="33"/>
        <v>0</v>
      </c>
    </row>
    <row r="280" spans="1:14" ht="30" customHeight="1" thickBot="1" x14ac:dyDescent="0.3">
      <c r="A280" s="121" t="s">
        <v>9</v>
      </c>
      <c r="B280" s="127">
        <f t="shared" ref="B280:N280" si="35">SUM(B254:B279)</f>
        <v>798</v>
      </c>
      <c r="C280" s="127">
        <f t="shared" si="35"/>
        <v>3098</v>
      </c>
      <c r="D280" s="127">
        <f t="shared" si="35"/>
        <v>253</v>
      </c>
      <c r="E280" s="127">
        <f t="shared" si="35"/>
        <v>264</v>
      </c>
      <c r="F280" s="85">
        <f t="shared" si="35"/>
        <v>0</v>
      </c>
      <c r="G280" s="85">
        <f t="shared" si="35"/>
        <v>0</v>
      </c>
      <c r="H280" s="85">
        <f t="shared" si="35"/>
        <v>0</v>
      </c>
      <c r="I280" s="85">
        <f t="shared" si="35"/>
        <v>0</v>
      </c>
      <c r="J280" s="85">
        <f t="shared" si="35"/>
        <v>0</v>
      </c>
      <c r="K280" s="85">
        <f t="shared" si="35"/>
        <v>0</v>
      </c>
      <c r="L280" s="128">
        <f t="shared" si="35"/>
        <v>0</v>
      </c>
      <c r="M280" s="114">
        <f t="shared" si="35"/>
        <v>2900627.7399999998</v>
      </c>
      <c r="N280" s="129">
        <f t="shared" si="35"/>
        <v>2900627.7399999998</v>
      </c>
    </row>
    <row r="281" spans="1:14" ht="15.75" customHeight="1" thickBot="1" x14ac:dyDescent="0.3">
      <c r="L281" s="75"/>
      <c r="N281" s="81"/>
    </row>
    <row r="282" spans="1:14" ht="30" customHeight="1" thickBot="1" x14ac:dyDescent="0.3">
      <c r="A282" s="172" t="s">
        <v>51</v>
      </c>
      <c r="B282" s="173"/>
      <c r="C282" s="173"/>
      <c r="D282" s="173"/>
      <c r="E282" s="173"/>
      <c r="F282" s="171"/>
      <c r="G282" s="175" t="str">
        <f>"INTERNAÇÕES - "&amp; '[1]intern. diaria convenio'!$L$42</f>
        <v>INTERNAÇÕES - 578</v>
      </c>
      <c r="H282" s="173"/>
      <c r="I282" s="176"/>
      <c r="J282" s="173"/>
      <c r="K282" s="175" t="str">
        <f>"DIÁRIAS - " &amp; '[1]intern. diaria convenio'!$L$88</f>
        <v>DIÁRIAS - 4829</v>
      </c>
      <c r="L282" s="173"/>
      <c r="M282" s="134"/>
      <c r="N282" s="135"/>
    </row>
    <row r="283" spans="1:14" ht="15" customHeight="1" thickBot="1" x14ac:dyDescent="0.3">
      <c r="A283" s="168" t="s">
        <v>2</v>
      </c>
      <c r="B283" s="174" t="s">
        <v>3</v>
      </c>
      <c r="C283" s="173"/>
      <c r="D283" s="173"/>
      <c r="E283" s="171"/>
      <c r="F283" s="170" t="s">
        <v>4</v>
      </c>
      <c r="G283" s="171"/>
      <c r="H283" s="170" t="s">
        <v>5</v>
      </c>
      <c r="I283" s="171"/>
      <c r="J283" s="170" t="s">
        <v>52</v>
      </c>
      <c r="K283" s="171"/>
      <c r="L283" s="117" t="s">
        <v>7</v>
      </c>
      <c r="M283" s="116" t="s">
        <v>8</v>
      </c>
      <c r="N283" s="118" t="s">
        <v>9</v>
      </c>
    </row>
    <row r="284" spans="1:14" ht="15.75" customHeight="1" thickBot="1" x14ac:dyDescent="0.3">
      <c r="A284" s="169"/>
      <c r="B284" s="122" t="s">
        <v>10</v>
      </c>
      <c r="C284" s="116" t="s">
        <v>11</v>
      </c>
      <c r="D284" s="122" t="s">
        <v>12</v>
      </c>
      <c r="E284" s="116" t="s">
        <v>13</v>
      </c>
      <c r="F284" s="109" t="s">
        <v>14</v>
      </c>
      <c r="G284" s="110" t="s">
        <v>15</v>
      </c>
      <c r="H284" s="109" t="s">
        <v>14</v>
      </c>
      <c r="I284" s="110" t="s">
        <v>15</v>
      </c>
      <c r="J284" s="109" t="s">
        <v>14</v>
      </c>
      <c r="K284" s="110" t="s">
        <v>15</v>
      </c>
      <c r="L284" s="116" t="s">
        <v>14</v>
      </c>
      <c r="M284" s="119" t="s">
        <v>15</v>
      </c>
      <c r="N284" s="120" t="s">
        <v>16</v>
      </c>
    </row>
    <row r="285" spans="1:14" ht="15.75" customHeight="1" x14ac:dyDescent="0.25">
      <c r="A285" s="123" t="s">
        <v>17</v>
      </c>
      <c r="B285" s="154"/>
      <c r="C285" s="155">
        <v>52</v>
      </c>
      <c r="D285" s="155">
        <v>1</v>
      </c>
      <c r="E285" s="156"/>
      <c r="F285" s="71"/>
      <c r="G285" s="67"/>
      <c r="H285" s="67"/>
      <c r="I285" s="67"/>
      <c r="J285" s="67"/>
      <c r="K285" s="111"/>
      <c r="L285" s="143">
        <f t="shared" ref="L285:L310" si="36">F285+H285+J285</f>
        <v>0</v>
      </c>
      <c r="M285" s="142">
        <v>141992.93</v>
      </c>
      <c r="N285" s="78">
        <f t="shared" ref="N285:N310" si="37">M285-L285</f>
        <v>141992.93</v>
      </c>
    </row>
    <row r="286" spans="1:14" ht="15.75" customHeight="1" x14ac:dyDescent="0.25">
      <c r="A286" s="124" t="s">
        <v>18</v>
      </c>
      <c r="B286" s="157"/>
      <c r="C286" s="141">
        <v>6</v>
      </c>
      <c r="D286" s="141"/>
      <c r="E286" s="150"/>
      <c r="F286" s="71"/>
      <c r="G286" s="67"/>
      <c r="H286" s="67"/>
      <c r="I286" s="67"/>
      <c r="J286" s="67"/>
      <c r="K286" s="111"/>
      <c r="L286" s="68">
        <f t="shared" si="36"/>
        <v>0</v>
      </c>
      <c r="M286" s="72">
        <v>13655</v>
      </c>
      <c r="N286" s="78">
        <f t="shared" si="37"/>
        <v>13655</v>
      </c>
    </row>
    <row r="287" spans="1:14" ht="15.75" customHeight="1" x14ac:dyDescent="0.25">
      <c r="A287" s="124" t="s">
        <v>19</v>
      </c>
      <c r="B287" s="157"/>
      <c r="C287" s="141"/>
      <c r="D287" s="141"/>
      <c r="E287" s="150"/>
      <c r="F287" s="71"/>
      <c r="G287" s="67"/>
      <c r="H287" s="67"/>
      <c r="I287" s="67"/>
      <c r="J287" s="67"/>
      <c r="K287" s="111"/>
      <c r="L287" s="68">
        <f t="shared" si="36"/>
        <v>0</v>
      </c>
      <c r="M287" s="72">
        <f>G287+I287+K287</f>
        <v>0</v>
      </c>
      <c r="N287" s="78">
        <f t="shared" si="37"/>
        <v>0</v>
      </c>
    </row>
    <row r="288" spans="1:14" ht="15.75" customHeight="1" x14ac:dyDescent="0.25">
      <c r="A288" s="124" t="s">
        <v>20</v>
      </c>
      <c r="B288" s="157"/>
      <c r="C288" s="141">
        <v>3</v>
      </c>
      <c r="D288" s="141"/>
      <c r="E288" s="150"/>
      <c r="F288" s="71"/>
      <c r="G288" s="67"/>
      <c r="H288" s="67"/>
      <c r="I288" s="67"/>
      <c r="J288" s="67"/>
      <c r="K288" s="111"/>
      <c r="L288" s="68">
        <f t="shared" si="36"/>
        <v>0</v>
      </c>
      <c r="M288" s="72"/>
      <c r="N288" s="78">
        <f t="shared" si="37"/>
        <v>0</v>
      </c>
    </row>
    <row r="289" spans="1:14" ht="15.75" customHeight="1" x14ac:dyDescent="0.25">
      <c r="A289" s="124" t="s">
        <v>21</v>
      </c>
      <c r="B289" s="157">
        <v>10</v>
      </c>
      <c r="C289" s="141">
        <v>1</v>
      </c>
      <c r="D289" s="141"/>
      <c r="E289" s="150"/>
      <c r="F289" s="71"/>
      <c r="G289" s="67"/>
      <c r="H289" s="67"/>
      <c r="I289" s="67"/>
      <c r="J289" s="67"/>
      <c r="K289" s="111"/>
      <c r="L289" s="68">
        <f t="shared" si="36"/>
        <v>0</v>
      </c>
      <c r="M289" s="72">
        <f t="shared" ref="M289:M303" si="38">SUM(G289,I289,K289)</f>
        <v>0</v>
      </c>
      <c r="N289" s="78">
        <f t="shared" si="37"/>
        <v>0</v>
      </c>
    </row>
    <row r="290" spans="1:14" ht="15.75" customHeight="1" x14ac:dyDescent="0.25">
      <c r="A290" s="124" t="s">
        <v>22</v>
      </c>
      <c r="B290" s="157">
        <v>19</v>
      </c>
      <c r="C290" s="141"/>
      <c r="D290" s="141">
        <v>2</v>
      </c>
      <c r="E290" s="150"/>
      <c r="F290" s="71"/>
      <c r="G290" s="67"/>
      <c r="H290" s="67"/>
      <c r="I290" s="67"/>
      <c r="J290" s="67"/>
      <c r="K290" s="111"/>
      <c r="L290" s="68">
        <f t="shared" si="36"/>
        <v>0</v>
      </c>
      <c r="M290" s="72">
        <f t="shared" si="38"/>
        <v>0</v>
      </c>
      <c r="N290" s="78">
        <f t="shared" si="37"/>
        <v>0</v>
      </c>
    </row>
    <row r="291" spans="1:14" ht="15.75" customHeight="1" x14ac:dyDescent="0.25">
      <c r="A291" s="125" t="s">
        <v>23</v>
      </c>
      <c r="B291" s="157"/>
      <c r="C291" s="141"/>
      <c r="D291" s="141"/>
      <c r="E291" s="150"/>
      <c r="F291" s="71"/>
      <c r="G291" s="67"/>
      <c r="H291" s="67"/>
      <c r="I291" s="67"/>
      <c r="J291" s="67"/>
      <c r="K291" s="111"/>
      <c r="L291" s="68">
        <f t="shared" si="36"/>
        <v>0</v>
      </c>
      <c r="M291" s="72">
        <f t="shared" si="38"/>
        <v>0</v>
      </c>
      <c r="N291" s="78">
        <f t="shared" si="37"/>
        <v>0</v>
      </c>
    </row>
    <row r="292" spans="1:14" ht="15.75" customHeight="1" x14ac:dyDescent="0.25">
      <c r="A292" s="124" t="s">
        <v>24</v>
      </c>
      <c r="B292" s="157">
        <v>42</v>
      </c>
      <c r="C292" s="141"/>
      <c r="D292" s="141">
        <v>4</v>
      </c>
      <c r="E292" s="150">
        <v>2</v>
      </c>
      <c r="F292" s="71"/>
      <c r="G292" s="67"/>
      <c r="H292" s="67"/>
      <c r="I292" s="67"/>
      <c r="J292" s="67"/>
      <c r="K292" s="111"/>
      <c r="L292" s="68">
        <f t="shared" si="36"/>
        <v>0</v>
      </c>
      <c r="M292" s="72">
        <f t="shared" si="38"/>
        <v>0</v>
      </c>
      <c r="N292" s="78">
        <f t="shared" si="37"/>
        <v>0</v>
      </c>
    </row>
    <row r="293" spans="1:14" ht="15.75" customHeight="1" x14ac:dyDescent="0.25">
      <c r="A293" s="124" t="s">
        <v>25</v>
      </c>
      <c r="B293" s="157"/>
      <c r="C293" s="141">
        <v>3</v>
      </c>
      <c r="D293" s="141"/>
      <c r="E293" s="150"/>
      <c r="F293" s="71"/>
      <c r="G293" s="67"/>
      <c r="H293" s="67"/>
      <c r="I293" s="67"/>
      <c r="J293" s="67"/>
      <c r="K293" s="111"/>
      <c r="L293" s="68">
        <f t="shared" si="36"/>
        <v>0</v>
      </c>
      <c r="M293" s="72">
        <f t="shared" si="38"/>
        <v>0</v>
      </c>
      <c r="N293" s="78">
        <f t="shared" si="37"/>
        <v>0</v>
      </c>
    </row>
    <row r="294" spans="1:14" ht="15.75" customHeight="1" x14ac:dyDescent="0.25">
      <c r="A294" s="124" t="s">
        <v>26</v>
      </c>
      <c r="B294" s="157"/>
      <c r="C294" s="141"/>
      <c r="D294" s="141"/>
      <c r="E294" s="150"/>
      <c r="G294" s="67"/>
      <c r="H294" s="67"/>
      <c r="I294" s="67"/>
      <c r="J294" s="71"/>
      <c r="K294" s="111"/>
      <c r="L294" s="68">
        <f t="shared" si="36"/>
        <v>0</v>
      </c>
      <c r="M294" s="72">
        <f t="shared" si="38"/>
        <v>0</v>
      </c>
      <c r="N294" s="78">
        <f t="shared" si="37"/>
        <v>0</v>
      </c>
    </row>
    <row r="295" spans="1:14" ht="15.75" customHeight="1" x14ac:dyDescent="0.25">
      <c r="A295" s="124" t="s">
        <v>27</v>
      </c>
      <c r="B295" s="157">
        <v>9</v>
      </c>
      <c r="C295" s="141"/>
      <c r="D295" s="141"/>
      <c r="E295" s="150"/>
      <c r="F295" s="71"/>
      <c r="G295" s="67"/>
      <c r="H295" s="67"/>
      <c r="I295" s="67"/>
      <c r="J295" s="67"/>
      <c r="K295" s="111"/>
      <c r="L295" s="68">
        <f t="shared" si="36"/>
        <v>0</v>
      </c>
      <c r="M295" s="72">
        <f t="shared" si="38"/>
        <v>0</v>
      </c>
      <c r="N295" s="78">
        <f t="shared" si="37"/>
        <v>0</v>
      </c>
    </row>
    <row r="296" spans="1:14" ht="15.75" customHeight="1" x14ac:dyDescent="0.25">
      <c r="A296" s="124" t="s">
        <v>28</v>
      </c>
      <c r="B296" s="157"/>
      <c r="C296" s="141">
        <v>1</v>
      </c>
      <c r="D296" s="141"/>
      <c r="E296" s="150"/>
      <c r="F296" s="71"/>
      <c r="G296" s="67"/>
      <c r="H296" s="67"/>
      <c r="I296" s="67"/>
      <c r="J296" s="67"/>
      <c r="K296" s="111"/>
      <c r="L296" s="68">
        <f t="shared" si="36"/>
        <v>0</v>
      </c>
      <c r="M296" s="72">
        <f t="shared" si="38"/>
        <v>0</v>
      </c>
      <c r="N296" s="78">
        <f t="shared" si="37"/>
        <v>0</v>
      </c>
    </row>
    <row r="297" spans="1:14" ht="15.75" customHeight="1" x14ac:dyDescent="0.25">
      <c r="A297" s="124" t="s">
        <v>29</v>
      </c>
      <c r="B297" s="157">
        <v>519</v>
      </c>
      <c r="C297" s="141">
        <v>113</v>
      </c>
      <c r="D297" s="141">
        <v>25</v>
      </c>
      <c r="E297" s="150">
        <v>16</v>
      </c>
      <c r="F297" s="71"/>
      <c r="G297" s="67"/>
      <c r="H297" s="67"/>
      <c r="I297" s="67"/>
      <c r="J297" s="67"/>
      <c r="K297" s="111"/>
      <c r="L297" s="68">
        <f t="shared" si="36"/>
        <v>0</v>
      </c>
      <c r="M297" s="72">
        <f t="shared" si="38"/>
        <v>0</v>
      </c>
      <c r="N297" s="78">
        <f t="shared" si="37"/>
        <v>0</v>
      </c>
    </row>
    <row r="298" spans="1:14" ht="15.75" customHeight="1" x14ac:dyDescent="0.25">
      <c r="A298" s="124" t="s">
        <v>30</v>
      </c>
      <c r="B298" s="157"/>
      <c r="C298" s="141"/>
      <c r="D298" s="141"/>
      <c r="E298" s="150"/>
      <c r="F298" s="71"/>
      <c r="G298" s="67"/>
      <c r="H298" s="67"/>
      <c r="I298" s="67"/>
      <c r="J298" s="67"/>
      <c r="K298" s="111"/>
      <c r="L298" s="68">
        <f t="shared" si="36"/>
        <v>0</v>
      </c>
      <c r="M298" s="72">
        <f t="shared" si="38"/>
        <v>0</v>
      </c>
      <c r="N298" s="78">
        <f t="shared" si="37"/>
        <v>0</v>
      </c>
    </row>
    <row r="299" spans="1:14" ht="15.75" customHeight="1" x14ac:dyDescent="0.25">
      <c r="A299" s="124" t="s">
        <v>31</v>
      </c>
      <c r="B299" s="157"/>
      <c r="C299" s="141"/>
      <c r="D299" s="141"/>
      <c r="E299" s="150"/>
      <c r="F299" s="71"/>
      <c r="G299" s="71"/>
      <c r="H299" s="71"/>
      <c r="I299" s="71"/>
      <c r="J299" s="71"/>
      <c r="K299" s="112"/>
      <c r="L299" s="68">
        <f t="shared" si="36"/>
        <v>0</v>
      </c>
      <c r="M299" s="72">
        <f t="shared" si="38"/>
        <v>0</v>
      </c>
      <c r="N299" s="78">
        <f t="shared" si="37"/>
        <v>0</v>
      </c>
    </row>
    <row r="300" spans="1:14" ht="15.75" customHeight="1" x14ac:dyDescent="0.25">
      <c r="A300" s="124" t="s">
        <v>32</v>
      </c>
      <c r="B300" s="157">
        <v>34</v>
      </c>
      <c r="C300" s="141">
        <v>6</v>
      </c>
      <c r="D300" s="141"/>
      <c r="E300" s="150">
        <v>2</v>
      </c>
      <c r="F300" s="71"/>
      <c r="G300" s="67"/>
      <c r="H300" s="67"/>
      <c r="I300" s="67"/>
      <c r="J300" s="67"/>
      <c r="K300" s="111"/>
      <c r="L300" s="68">
        <f t="shared" si="36"/>
        <v>0</v>
      </c>
      <c r="M300" s="72">
        <f t="shared" si="38"/>
        <v>0</v>
      </c>
      <c r="N300" s="78">
        <f t="shared" si="37"/>
        <v>0</v>
      </c>
    </row>
    <row r="301" spans="1:14" ht="15.75" customHeight="1" x14ac:dyDescent="0.25">
      <c r="A301" s="125" t="s">
        <v>33</v>
      </c>
      <c r="B301" s="157"/>
      <c r="C301" s="141"/>
      <c r="D301" s="141"/>
      <c r="E301" s="150"/>
      <c r="F301" s="71"/>
      <c r="G301" s="67"/>
      <c r="H301" s="67"/>
      <c r="I301" s="67"/>
      <c r="J301" s="67"/>
      <c r="K301" s="111"/>
      <c r="L301" s="68">
        <f t="shared" si="36"/>
        <v>0</v>
      </c>
      <c r="M301" s="72">
        <f t="shared" si="38"/>
        <v>0</v>
      </c>
      <c r="N301" s="78">
        <f t="shared" si="37"/>
        <v>0</v>
      </c>
    </row>
    <row r="302" spans="1:14" ht="15.75" customHeight="1" x14ac:dyDescent="0.25">
      <c r="A302" s="124" t="s">
        <v>34</v>
      </c>
      <c r="B302" s="157"/>
      <c r="C302" s="141"/>
      <c r="D302" s="141"/>
      <c r="E302" s="150"/>
      <c r="F302" s="71"/>
      <c r="G302" s="67"/>
      <c r="H302" s="67"/>
      <c r="I302" s="67"/>
      <c r="J302" s="67"/>
      <c r="K302" s="111"/>
      <c r="L302" s="68">
        <f t="shared" si="36"/>
        <v>0</v>
      </c>
      <c r="M302" s="72">
        <f t="shared" si="38"/>
        <v>0</v>
      </c>
      <c r="N302" s="78">
        <f t="shared" si="37"/>
        <v>0</v>
      </c>
    </row>
    <row r="303" spans="1:14" ht="15.75" customHeight="1" x14ac:dyDescent="0.25">
      <c r="A303" s="124" t="s">
        <v>35</v>
      </c>
      <c r="B303" s="157"/>
      <c r="C303" s="141"/>
      <c r="D303" s="141"/>
      <c r="E303" s="150"/>
      <c r="F303" s="71"/>
      <c r="G303" s="67"/>
      <c r="H303" s="67"/>
      <c r="I303" s="67"/>
      <c r="J303" s="67"/>
      <c r="K303" s="111"/>
      <c r="L303" s="68">
        <f t="shared" si="36"/>
        <v>0</v>
      </c>
      <c r="M303" s="72">
        <f t="shared" si="38"/>
        <v>0</v>
      </c>
      <c r="N303" s="78">
        <f t="shared" si="37"/>
        <v>0</v>
      </c>
    </row>
    <row r="304" spans="1:14" ht="15.75" customHeight="1" x14ac:dyDescent="0.25">
      <c r="A304" s="124" t="s">
        <v>36</v>
      </c>
      <c r="B304" s="157">
        <v>2</v>
      </c>
      <c r="C304" s="141">
        <v>216</v>
      </c>
      <c r="D304" s="141">
        <v>20</v>
      </c>
      <c r="E304" s="150">
        <v>4</v>
      </c>
      <c r="F304" s="71"/>
      <c r="G304" s="67"/>
      <c r="H304" s="67"/>
      <c r="I304" s="67"/>
      <c r="J304" s="67"/>
      <c r="K304" s="111"/>
      <c r="L304" s="68">
        <f t="shared" si="36"/>
        <v>0</v>
      </c>
      <c r="M304" s="72">
        <v>400000</v>
      </c>
      <c r="N304" s="78">
        <f t="shared" si="37"/>
        <v>400000</v>
      </c>
    </row>
    <row r="305" spans="1:14" ht="15.75" customHeight="1" x14ac:dyDescent="0.25">
      <c r="A305" s="125" t="s">
        <v>37</v>
      </c>
      <c r="B305" s="157"/>
      <c r="C305" s="141"/>
      <c r="D305" s="141"/>
      <c r="E305" s="150"/>
      <c r="F305" s="108"/>
      <c r="G305" s="67"/>
      <c r="H305" s="67"/>
      <c r="I305" s="67"/>
      <c r="J305" s="67"/>
      <c r="K305" s="111"/>
      <c r="L305" s="68">
        <f t="shared" si="36"/>
        <v>0</v>
      </c>
      <c r="M305" s="145">
        <f>G305+I305+K305</f>
        <v>0</v>
      </c>
      <c r="N305" s="78">
        <f t="shared" si="37"/>
        <v>0</v>
      </c>
    </row>
    <row r="306" spans="1:14" ht="15.75" customHeight="1" x14ac:dyDescent="0.25">
      <c r="A306" s="124" t="s">
        <v>38</v>
      </c>
      <c r="B306" s="157">
        <v>14</v>
      </c>
      <c r="C306" s="141"/>
      <c r="D306" s="141"/>
      <c r="E306" s="150"/>
      <c r="F306" s="71"/>
      <c r="G306" s="67"/>
      <c r="H306" s="71"/>
      <c r="I306" s="67"/>
      <c r="J306" s="67"/>
      <c r="K306" s="111"/>
      <c r="L306" s="68">
        <f t="shared" si="36"/>
        <v>0</v>
      </c>
      <c r="M306" s="72">
        <v>0</v>
      </c>
      <c r="N306" s="78">
        <f t="shared" si="37"/>
        <v>0</v>
      </c>
    </row>
    <row r="307" spans="1:14" ht="15.75" customHeight="1" x14ac:dyDescent="0.25">
      <c r="A307" s="124" t="s">
        <v>39</v>
      </c>
      <c r="B307" s="157"/>
      <c r="C307" s="141"/>
      <c r="D307" s="141"/>
      <c r="E307" s="150"/>
      <c r="F307" s="71"/>
      <c r="G307" s="67"/>
      <c r="H307" s="67"/>
      <c r="I307" s="67"/>
      <c r="J307" s="67"/>
      <c r="K307" s="111"/>
      <c r="L307" s="68">
        <f t="shared" si="36"/>
        <v>0</v>
      </c>
      <c r="M307" s="72">
        <f>G307+I307+K307</f>
        <v>0</v>
      </c>
      <c r="N307" s="78">
        <f t="shared" si="37"/>
        <v>0</v>
      </c>
    </row>
    <row r="308" spans="1:14" ht="15.75" customHeight="1" x14ac:dyDescent="0.25">
      <c r="A308" s="124" t="s">
        <v>40</v>
      </c>
      <c r="B308" s="157"/>
      <c r="C308" s="141">
        <v>2160</v>
      </c>
      <c r="D308" s="141">
        <v>110</v>
      </c>
      <c r="E308" s="150">
        <v>283</v>
      </c>
      <c r="F308" s="71"/>
      <c r="G308" s="67"/>
      <c r="H308" s="67"/>
      <c r="I308" s="67"/>
      <c r="J308" s="67"/>
      <c r="K308" s="111"/>
      <c r="L308" s="68">
        <f t="shared" si="36"/>
        <v>0</v>
      </c>
      <c r="M308" s="72">
        <v>2121420.25</v>
      </c>
      <c r="N308" s="78">
        <f t="shared" si="37"/>
        <v>2121420.25</v>
      </c>
    </row>
    <row r="309" spans="1:14" ht="15.75" customHeight="1" x14ac:dyDescent="0.25">
      <c r="A309" s="124" t="s">
        <v>41</v>
      </c>
      <c r="B309" s="157"/>
      <c r="C309" s="141"/>
      <c r="D309" s="141"/>
      <c r="E309" s="150"/>
      <c r="F309" s="71"/>
      <c r="G309" s="67"/>
      <c r="H309" s="67"/>
      <c r="I309" s="67"/>
      <c r="J309" s="67"/>
      <c r="K309" s="111"/>
      <c r="L309" s="68">
        <f t="shared" si="36"/>
        <v>0</v>
      </c>
      <c r="M309" s="145">
        <f>G309+I309+K309</f>
        <v>0</v>
      </c>
      <c r="N309" s="78">
        <f t="shared" si="37"/>
        <v>0</v>
      </c>
    </row>
    <row r="310" spans="1:14" ht="16.5" customHeight="1" thickBot="1" x14ac:dyDescent="0.3">
      <c r="A310" s="126" t="s">
        <v>42</v>
      </c>
      <c r="B310" s="158">
        <v>124</v>
      </c>
      <c r="C310" s="159">
        <v>226</v>
      </c>
      <c r="D310" s="159">
        <v>24</v>
      </c>
      <c r="E310" s="160">
        <v>28</v>
      </c>
      <c r="F310" s="71"/>
      <c r="G310" s="67"/>
      <c r="H310" s="69"/>
      <c r="I310" s="69"/>
      <c r="J310" s="69"/>
      <c r="K310" s="113"/>
      <c r="L310" s="74">
        <f t="shared" si="36"/>
        <v>0</v>
      </c>
      <c r="M310" s="73">
        <f>SUM(G310,I310,K310)</f>
        <v>0</v>
      </c>
      <c r="N310" s="80">
        <f t="shared" si="37"/>
        <v>0</v>
      </c>
    </row>
    <row r="311" spans="1:14" ht="30" customHeight="1" thickBot="1" x14ac:dyDescent="0.3">
      <c r="A311" s="121" t="s">
        <v>9</v>
      </c>
      <c r="B311" s="127">
        <f t="shared" ref="B311:N311" si="39">SUM(B285:B310)</f>
        <v>773</v>
      </c>
      <c r="C311" s="127">
        <f t="shared" si="39"/>
        <v>2787</v>
      </c>
      <c r="D311" s="127">
        <f t="shared" si="39"/>
        <v>186</v>
      </c>
      <c r="E311" s="127">
        <f t="shared" si="39"/>
        <v>335</v>
      </c>
      <c r="F311" s="85">
        <f t="shared" si="39"/>
        <v>0</v>
      </c>
      <c r="G311" s="85">
        <f t="shared" si="39"/>
        <v>0</v>
      </c>
      <c r="H311" s="85">
        <f t="shared" si="39"/>
        <v>0</v>
      </c>
      <c r="I311" s="85">
        <f t="shared" si="39"/>
        <v>0</v>
      </c>
      <c r="J311" s="85">
        <f t="shared" si="39"/>
        <v>0</v>
      </c>
      <c r="K311" s="85">
        <f t="shared" si="39"/>
        <v>0</v>
      </c>
      <c r="L311" s="128">
        <f t="shared" si="39"/>
        <v>0</v>
      </c>
      <c r="M311" s="114">
        <f t="shared" si="39"/>
        <v>2677068.1799999997</v>
      </c>
      <c r="N311" s="129">
        <f t="shared" si="39"/>
        <v>2677068.1799999997</v>
      </c>
    </row>
    <row r="312" spans="1:14" ht="15.75" customHeight="1" thickBot="1" x14ac:dyDescent="0.3"/>
    <row r="313" spans="1:14" ht="30" customHeight="1" thickBot="1" x14ac:dyDescent="0.3">
      <c r="A313" s="172" t="s">
        <v>53</v>
      </c>
      <c r="B313" s="173"/>
      <c r="C313" s="173"/>
      <c r="D313" s="173"/>
      <c r="E313" s="173"/>
      <c r="F313" s="171"/>
      <c r="G313" s="175" t="str">
        <f>"INTERNAÇÕES - "&amp; '[1]intern. diaria convenio'!$M$42</f>
        <v>INTERNAÇÕES - 522</v>
      </c>
      <c r="H313" s="173"/>
      <c r="I313" s="176"/>
      <c r="J313" s="173"/>
      <c r="K313" s="175" t="str">
        <f>"DIÁRIAS - " &amp; '[1]intern. diaria convenio'!$M$88</f>
        <v>DIÁRIAS - 4330</v>
      </c>
      <c r="L313" s="173"/>
      <c r="M313" s="134"/>
      <c r="N313" s="135"/>
    </row>
    <row r="314" spans="1:14" ht="15" customHeight="1" thickBot="1" x14ac:dyDescent="0.3">
      <c r="A314" s="168" t="s">
        <v>2</v>
      </c>
      <c r="B314" s="174" t="s">
        <v>3</v>
      </c>
      <c r="C314" s="173"/>
      <c r="D314" s="173"/>
      <c r="E314" s="171"/>
      <c r="F314" s="170" t="s">
        <v>4</v>
      </c>
      <c r="G314" s="171"/>
      <c r="H314" s="170" t="s">
        <v>5</v>
      </c>
      <c r="I314" s="171"/>
      <c r="J314" s="170" t="s">
        <v>6</v>
      </c>
      <c r="K314" s="171"/>
      <c r="L314" s="117" t="s">
        <v>7</v>
      </c>
      <c r="M314" s="116" t="s">
        <v>8</v>
      </c>
      <c r="N314" s="118" t="s">
        <v>9</v>
      </c>
    </row>
    <row r="315" spans="1:14" ht="15.75" customHeight="1" thickBot="1" x14ac:dyDescent="0.3">
      <c r="A315" s="169"/>
      <c r="B315" s="122" t="s">
        <v>10</v>
      </c>
      <c r="C315" s="116" t="s">
        <v>11</v>
      </c>
      <c r="D315" s="122" t="s">
        <v>12</v>
      </c>
      <c r="E315" s="116" t="s">
        <v>13</v>
      </c>
      <c r="F315" s="109" t="s">
        <v>14</v>
      </c>
      <c r="G315" s="110" t="s">
        <v>15</v>
      </c>
      <c r="H315" s="109" t="s">
        <v>14</v>
      </c>
      <c r="I315" s="110" t="s">
        <v>15</v>
      </c>
      <c r="J315" s="109" t="s">
        <v>14</v>
      </c>
      <c r="K315" s="110" t="s">
        <v>15</v>
      </c>
      <c r="L315" s="116" t="s">
        <v>14</v>
      </c>
      <c r="M315" s="119" t="s">
        <v>15</v>
      </c>
      <c r="N315" s="120" t="s">
        <v>16</v>
      </c>
    </row>
    <row r="316" spans="1:14" ht="15.75" customHeight="1" x14ac:dyDescent="0.25">
      <c r="A316" s="123" t="s">
        <v>17</v>
      </c>
      <c r="B316" s="154"/>
      <c r="C316" s="155">
        <v>59</v>
      </c>
      <c r="D316" s="155"/>
      <c r="E316" s="156">
        <v>1</v>
      </c>
      <c r="F316" s="71"/>
      <c r="G316" s="67"/>
      <c r="H316" s="67"/>
      <c r="I316" s="67"/>
      <c r="J316" s="67"/>
      <c r="K316" s="111"/>
      <c r="L316" s="143">
        <f t="shared" ref="L316:L341" si="40">F316+H316+J316</f>
        <v>0</v>
      </c>
      <c r="M316" s="142">
        <v>134999</v>
      </c>
      <c r="N316" s="78">
        <f t="shared" ref="N316:N341" si="41">M316-L316</f>
        <v>134999</v>
      </c>
    </row>
    <row r="317" spans="1:14" ht="15.75" customHeight="1" x14ac:dyDescent="0.25">
      <c r="A317" s="124" t="s">
        <v>18</v>
      </c>
      <c r="B317" s="157"/>
      <c r="C317" s="141">
        <v>6</v>
      </c>
      <c r="D317" s="141"/>
      <c r="E317" s="150">
        <v>2</v>
      </c>
      <c r="F317" s="71"/>
      <c r="G317" s="67"/>
      <c r="H317" s="67"/>
      <c r="I317" s="67"/>
      <c r="J317" s="67"/>
      <c r="K317" s="111"/>
      <c r="L317" s="68">
        <f t="shared" si="40"/>
        <v>0</v>
      </c>
      <c r="M317" s="72">
        <v>132241.67000000001</v>
      </c>
      <c r="N317" s="78">
        <f t="shared" si="41"/>
        <v>132241.67000000001</v>
      </c>
    </row>
    <row r="318" spans="1:14" ht="15.75" customHeight="1" x14ac:dyDescent="0.25">
      <c r="A318" s="124" t="s">
        <v>19</v>
      </c>
      <c r="B318" s="157"/>
      <c r="C318" s="141"/>
      <c r="D318" s="141"/>
      <c r="E318" s="150"/>
      <c r="F318" s="71"/>
      <c r="G318" s="67"/>
      <c r="H318" s="67"/>
      <c r="I318" s="67"/>
      <c r="J318" s="67"/>
      <c r="K318" s="111"/>
      <c r="L318" s="68">
        <f t="shared" si="40"/>
        <v>0</v>
      </c>
      <c r="M318" s="72">
        <f>G318+I318+K318</f>
        <v>0</v>
      </c>
      <c r="N318" s="78">
        <f t="shared" si="41"/>
        <v>0</v>
      </c>
    </row>
    <row r="319" spans="1:14" ht="15.75" customHeight="1" x14ac:dyDescent="0.25">
      <c r="A319" s="124" t="s">
        <v>20</v>
      </c>
      <c r="B319" s="157"/>
      <c r="C319" s="141">
        <v>6</v>
      </c>
      <c r="D319" s="141"/>
      <c r="E319" s="150"/>
      <c r="F319" s="71"/>
      <c r="G319" s="67"/>
      <c r="H319" s="67"/>
      <c r="I319" s="67"/>
      <c r="J319" s="67"/>
      <c r="K319" s="111"/>
      <c r="L319" s="68">
        <f t="shared" si="40"/>
        <v>0</v>
      </c>
      <c r="M319" s="72"/>
      <c r="N319" s="78">
        <f t="shared" si="41"/>
        <v>0</v>
      </c>
    </row>
    <row r="320" spans="1:14" ht="15.75" customHeight="1" x14ac:dyDescent="0.25">
      <c r="A320" s="124" t="s">
        <v>21</v>
      </c>
      <c r="B320" s="157">
        <v>2</v>
      </c>
      <c r="C320" s="141"/>
      <c r="D320" s="141"/>
      <c r="E320" s="150"/>
      <c r="F320" s="71"/>
      <c r="G320" s="67"/>
      <c r="H320" s="67"/>
      <c r="I320" s="67"/>
      <c r="J320" s="67"/>
      <c r="K320" s="111"/>
      <c r="L320" s="68">
        <f t="shared" si="40"/>
        <v>0</v>
      </c>
      <c r="M320" s="72">
        <f t="shared" ref="M320:M334" si="42">SUM(G320,I320,K320)</f>
        <v>0</v>
      </c>
      <c r="N320" s="78">
        <f t="shared" si="41"/>
        <v>0</v>
      </c>
    </row>
    <row r="321" spans="1:14" ht="15.75" customHeight="1" x14ac:dyDescent="0.25">
      <c r="A321" s="124" t="s">
        <v>22</v>
      </c>
      <c r="B321" s="157">
        <v>9</v>
      </c>
      <c r="C321" s="141"/>
      <c r="D321" s="141">
        <v>2</v>
      </c>
      <c r="E321" s="150">
        <v>3</v>
      </c>
      <c r="F321" s="71"/>
      <c r="G321" s="67"/>
      <c r="H321" s="67"/>
      <c r="I321" s="67"/>
      <c r="J321" s="67"/>
      <c r="K321" s="111"/>
      <c r="L321" s="68">
        <f t="shared" si="40"/>
        <v>0</v>
      </c>
      <c r="M321" s="72">
        <f t="shared" si="42"/>
        <v>0</v>
      </c>
      <c r="N321" s="78">
        <f t="shared" si="41"/>
        <v>0</v>
      </c>
    </row>
    <row r="322" spans="1:14" ht="15.75" customHeight="1" x14ac:dyDescent="0.25">
      <c r="A322" s="125" t="s">
        <v>23</v>
      </c>
      <c r="B322" s="157"/>
      <c r="C322" s="141"/>
      <c r="D322" s="141"/>
      <c r="E322" s="150"/>
      <c r="F322" s="71"/>
      <c r="G322" s="67"/>
      <c r="H322" s="67"/>
      <c r="I322" s="67"/>
      <c r="J322" s="67"/>
      <c r="K322" s="111"/>
      <c r="L322" s="68">
        <f t="shared" si="40"/>
        <v>0</v>
      </c>
      <c r="M322" s="72">
        <f t="shared" si="42"/>
        <v>0</v>
      </c>
      <c r="N322" s="78">
        <f t="shared" si="41"/>
        <v>0</v>
      </c>
    </row>
    <row r="323" spans="1:14" ht="15.75" customHeight="1" x14ac:dyDescent="0.25">
      <c r="A323" s="124" t="s">
        <v>24</v>
      </c>
      <c r="B323" s="157">
        <v>22</v>
      </c>
      <c r="C323" s="141"/>
      <c r="D323" s="141"/>
      <c r="E323" s="150"/>
      <c r="F323" s="71"/>
      <c r="G323" s="67"/>
      <c r="H323" s="67"/>
      <c r="I323" s="67"/>
      <c r="J323" s="67"/>
      <c r="K323" s="111"/>
      <c r="L323" s="68">
        <f t="shared" si="40"/>
        <v>0</v>
      </c>
      <c r="M323" s="72">
        <f t="shared" si="42"/>
        <v>0</v>
      </c>
      <c r="N323" s="78">
        <f t="shared" si="41"/>
        <v>0</v>
      </c>
    </row>
    <row r="324" spans="1:14" ht="15.75" customHeight="1" x14ac:dyDescent="0.25">
      <c r="A324" s="124" t="s">
        <v>25</v>
      </c>
      <c r="B324" s="157"/>
      <c r="C324" s="141">
        <v>3</v>
      </c>
      <c r="D324" s="141"/>
      <c r="E324" s="150"/>
      <c r="F324" s="71"/>
      <c r="G324" s="67"/>
      <c r="H324" s="67"/>
      <c r="I324" s="67"/>
      <c r="J324" s="67"/>
      <c r="K324" s="111"/>
      <c r="L324" s="68">
        <f t="shared" si="40"/>
        <v>0</v>
      </c>
      <c r="M324" s="72">
        <f t="shared" si="42"/>
        <v>0</v>
      </c>
      <c r="N324" s="78">
        <f t="shared" si="41"/>
        <v>0</v>
      </c>
    </row>
    <row r="325" spans="1:14" ht="15.75" customHeight="1" x14ac:dyDescent="0.25">
      <c r="A325" s="124" t="s">
        <v>26</v>
      </c>
      <c r="B325" s="157"/>
      <c r="C325" s="141"/>
      <c r="D325" s="141"/>
      <c r="E325" s="150"/>
      <c r="G325" s="67"/>
      <c r="H325" s="67"/>
      <c r="I325" s="67"/>
      <c r="J325" s="71"/>
      <c r="K325" s="111"/>
      <c r="L325" s="68">
        <f t="shared" si="40"/>
        <v>0</v>
      </c>
      <c r="M325" s="72">
        <f t="shared" si="42"/>
        <v>0</v>
      </c>
      <c r="N325" s="78">
        <f t="shared" si="41"/>
        <v>0</v>
      </c>
    </row>
    <row r="326" spans="1:14" ht="15.75" customHeight="1" x14ac:dyDescent="0.25">
      <c r="A326" s="124" t="s">
        <v>27</v>
      </c>
      <c r="B326" s="157">
        <v>14</v>
      </c>
      <c r="C326" s="141"/>
      <c r="D326" s="141"/>
      <c r="E326" s="150"/>
      <c r="F326" s="71"/>
      <c r="G326" s="67"/>
      <c r="H326" s="67"/>
      <c r="I326" s="67"/>
      <c r="J326" s="67"/>
      <c r="K326" s="111"/>
      <c r="L326" s="68">
        <f t="shared" si="40"/>
        <v>0</v>
      </c>
      <c r="M326" s="72">
        <f t="shared" si="42"/>
        <v>0</v>
      </c>
      <c r="N326" s="78">
        <f t="shared" si="41"/>
        <v>0</v>
      </c>
    </row>
    <row r="327" spans="1:14" ht="15.75" customHeight="1" x14ac:dyDescent="0.25">
      <c r="A327" s="124" t="s">
        <v>28</v>
      </c>
      <c r="B327" s="157"/>
      <c r="C327" s="141"/>
      <c r="D327" s="141"/>
      <c r="E327" s="150"/>
      <c r="F327" s="71"/>
      <c r="G327" s="67"/>
      <c r="H327" s="67"/>
      <c r="I327" s="67"/>
      <c r="J327" s="67"/>
      <c r="K327" s="111"/>
      <c r="L327" s="68">
        <f t="shared" si="40"/>
        <v>0</v>
      </c>
      <c r="M327" s="72">
        <f t="shared" si="42"/>
        <v>0</v>
      </c>
      <c r="N327" s="78">
        <f t="shared" si="41"/>
        <v>0</v>
      </c>
    </row>
    <row r="328" spans="1:14" ht="15.75" customHeight="1" x14ac:dyDescent="0.25">
      <c r="A328" s="124" t="s">
        <v>29</v>
      </c>
      <c r="B328" s="157">
        <v>364</v>
      </c>
      <c r="C328" s="141">
        <v>106</v>
      </c>
      <c r="D328" s="141">
        <v>52</v>
      </c>
      <c r="E328" s="150">
        <v>4</v>
      </c>
      <c r="F328" s="71"/>
      <c r="G328" s="67"/>
      <c r="H328" s="67"/>
      <c r="I328" s="67"/>
      <c r="J328" s="67"/>
      <c r="K328" s="111"/>
      <c r="L328" s="68">
        <f t="shared" si="40"/>
        <v>0</v>
      </c>
      <c r="M328" s="72">
        <f t="shared" si="42"/>
        <v>0</v>
      </c>
      <c r="N328" s="78">
        <f t="shared" si="41"/>
        <v>0</v>
      </c>
    </row>
    <row r="329" spans="1:14" ht="15.75" customHeight="1" x14ac:dyDescent="0.25">
      <c r="A329" s="124" t="s">
        <v>30</v>
      </c>
      <c r="B329" s="157"/>
      <c r="C329" s="141"/>
      <c r="D329" s="141"/>
      <c r="E329" s="150"/>
      <c r="F329" s="71"/>
      <c r="G329" s="67"/>
      <c r="H329" s="67"/>
      <c r="I329" s="67"/>
      <c r="J329" s="67"/>
      <c r="K329" s="111"/>
      <c r="L329" s="68">
        <f t="shared" si="40"/>
        <v>0</v>
      </c>
      <c r="M329" s="72">
        <f t="shared" si="42"/>
        <v>0</v>
      </c>
      <c r="N329" s="78">
        <f t="shared" si="41"/>
        <v>0</v>
      </c>
    </row>
    <row r="330" spans="1:14" ht="15.75" customHeight="1" x14ac:dyDescent="0.25">
      <c r="A330" s="124" t="s">
        <v>31</v>
      </c>
      <c r="B330" s="157"/>
      <c r="C330" s="141"/>
      <c r="D330" s="141"/>
      <c r="E330" s="150"/>
      <c r="F330" s="71"/>
      <c r="G330" s="71"/>
      <c r="H330" s="71"/>
      <c r="I330" s="71"/>
      <c r="J330" s="71"/>
      <c r="K330" s="112"/>
      <c r="L330" s="68">
        <f t="shared" si="40"/>
        <v>0</v>
      </c>
      <c r="M330" s="72">
        <f t="shared" si="42"/>
        <v>0</v>
      </c>
      <c r="N330" s="78">
        <f t="shared" si="41"/>
        <v>0</v>
      </c>
    </row>
    <row r="331" spans="1:14" ht="15.75" customHeight="1" x14ac:dyDescent="0.25">
      <c r="A331" s="124" t="s">
        <v>32</v>
      </c>
      <c r="B331" s="157">
        <v>38</v>
      </c>
      <c r="C331" s="141">
        <v>3</v>
      </c>
      <c r="D331" s="141"/>
      <c r="E331" s="150"/>
      <c r="F331" s="71"/>
      <c r="G331" s="67"/>
      <c r="H331" s="67"/>
      <c r="I331" s="67"/>
      <c r="J331" s="67"/>
      <c r="K331" s="111"/>
      <c r="L331" s="68">
        <f t="shared" si="40"/>
        <v>0</v>
      </c>
      <c r="M331" s="72">
        <f t="shared" si="42"/>
        <v>0</v>
      </c>
      <c r="N331" s="78">
        <f t="shared" si="41"/>
        <v>0</v>
      </c>
    </row>
    <row r="332" spans="1:14" ht="15.75" customHeight="1" x14ac:dyDescent="0.25">
      <c r="A332" s="125" t="s">
        <v>33</v>
      </c>
      <c r="B332" s="157"/>
      <c r="C332" s="141"/>
      <c r="D332" s="141"/>
      <c r="E332" s="150"/>
      <c r="F332" s="71"/>
      <c r="G332" s="67"/>
      <c r="H332" s="67"/>
      <c r="I332" s="67"/>
      <c r="J332" s="67"/>
      <c r="K332" s="111"/>
      <c r="L332" s="68">
        <f t="shared" si="40"/>
        <v>0</v>
      </c>
      <c r="M332" s="72">
        <f t="shared" si="42"/>
        <v>0</v>
      </c>
      <c r="N332" s="78">
        <f t="shared" si="41"/>
        <v>0</v>
      </c>
    </row>
    <row r="333" spans="1:14" ht="15.75" customHeight="1" x14ac:dyDescent="0.25">
      <c r="A333" s="124" t="s">
        <v>34</v>
      </c>
      <c r="B333" s="157"/>
      <c r="C333" s="141"/>
      <c r="D333" s="141"/>
      <c r="E333" s="150"/>
      <c r="F333" s="71"/>
      <c r="G333" s="67"/>
      <c r="H333" s="67"/>
      <c r="I333" s="67"/>
      <c r="J333" s="67"/>
      <c r="K333" s="111"/>
      <c r="L333" s="68">
        <f t="shared" si="40"/>
        <v>0</v>
      </c>
      <c r="M333" s="72">
        <f t="shared" si="42"/>
        <v>0</v>
      </c>
      <c r="N333" s="78">
        <f t="shared" si="41"/>
        <v>0</v>
      </c>
    </row>
    <row r="334" spans="1:14" ht="15.75" customHeight="1" x14ac:dyDescent="0.25">
      <c r="A334" s="124" t="s">
        <v>35</v>
      </c>
      <c r="B334" s="157"/>
      <c r="C334" s="141"/>
      <c r="D334" s="141"/>
      <c r="E334" s="150"/>
      <c r="F334" s="71"/>
      <c r="G334" s="67"/>
      <c r="H334" s="67"/>
      <c r="I334" s="67"/>
      <c r="J334" s="67"/>
      <c r="K334" s="111"/>
      <c r="L334" s="68">
        <f t="shared" si="40"/>
        <v>0</v>
      </c>
      <c r="M334" s="72">
        <f t="shared" si="42"/>
        <v>0</v>
      </c>
      <c r="N334" s="78">
        <f t="shared" si="41"/>
        <v>0</v>
      </c>
    </row>
    <row r="335" spans="1:14" ht="15.75" customHeight="1" x14ac:dyDescent="0.25">
      <c r="A335" s="124" t="s">
        <v>36</v>
      </c>
      <c r="B335" s="157"/>
      <c r="C335" s="141">
        <v>134</v>
      </c>
      <c r="D335" s="141"/>
      <c r="E335" s="150">
        <v>9</v>
      </c>
      <c r="F335" s="71"/>
      <c r="G335" s="67"/>
      <c r="H335" s="67"/>
      <c r="I335" s="67"/>
      <c r="J335" s="67"/>
      <c r="K335" s="111"/>
      <c r="L335" s="68">
        <f t="shared" si="40"/>
        <v>0</v>
      </c>
      <c r="M335" s="72">
        <v>400000</v>
      </c>
      <c r="N335" s="78">
        <f t="shared" si="41"/>
        <v>400000</v>
      </c>
    </row>
    <row r="336" spans="1:14" ht="15.75" customHeight="1" x14ac:dyDescent="0.25">
      <c r="A336" s="125" t="s">
        <v>37</v>
      </c>
      <c r="B336" s="157"/>
      <c r="C336" s="141"/>
      <c r="D336" s="141"/>
      <c r="E336" s="150"/>
      <c r="F336" s="108"/>
      <c r="G336" s="67"/>
      <c r="H336" s="67"/>
      <c r="I336" s="67"/>
      <c r="J336" s="67"/>
      <c r="K336" s="111"/>
      <c r="L336" s="68">
        <f t="shared" si="40"/>
        <v>0</v>
      </c>
      <c r="M336" s="145">
        <f>G336+I336+K336</f>
        <v>0</v>
      </c>
      <c r="N336" s="78">
        <f t="shared" si="41"/>
        <v>0</v>
      </c>
    </row>
    <row r="337" spans="1:14" ht="15.75" customHeight="1" x14ac:dyDescent="0.25">
      <c r="A337" s="124" t="s">
        <v>38</v>
      </c>
      <c r="B337" s="157">
        <v>5</v>
      </c>
      <c r="C337" s="141"/>
      <c r="D337" s="141">
        <v>7</v>
      </c>
      <c r="E337" s="150"/>
      <c r="F337" s="71"/>
      <c r="G337" s="67"/>
      <c r="H337" s="71"/>
      <c r="I337" s="67"/>
      <c r="J337" s="67"/>
      <c r="K337" s="111"/>
      <c r="L337" s="68">
        <f t="shared" si="40"/>
        <v>0</v>
      </c>
      <c r="M337" s="72">
        <v>0</v>
      </c>
      <c r="N337" s="78">
        <f t="shared" si="41"/>
        <v>0</v>
      </c>
    </row>
    <row r="338" spans="1:14" ht="15.75" customHeight="1" x14ac:dyDescent="0.25">
      <c r="A338" s="124" t="s">
        <v>39</v>
      </c>
      <c r="B338" s="157"/>
      <c r="C338" s="141"/>
      <c r="D338" s="141"/>
      <c r="E338" s="150"/>
      <c r="F338" s="71"/>
      <c r="G338" s="67"/>
      <c r="H338" s="67"/>
      <c r="I338" s="67"/>
      <c r="J338" s="67"/>
      <c r="K338" s="111"/>
      <c r="L338" s="68">
        <f t="shared" si="40"/>
        <v>0</v>
      </c>
      <c r="M338" s="72">
        <f>G338+I338+K338</f>
        <v>0</v>
      </c>
      <c r="N338" s="78">
        <f t="shared" si="41"/>
        <v>0</v>
      </c>
    </row>
    <row r="339" spans="1:14" ht="15.75" customHeight="1" x14ac:dyDescent="0.25">
      <c r="A339" s="124" t="s">
        <v>40</v>
      </c>
      <c r="B339" s="157"/>
      <c r="C339" s="141">
        <v>1107</v>
      </c>
      <c r="D339" s="141">
        <v>120</v>
      </c>
      <c r="E339" s="150">
        <v>154</v>
      </c>
      <c r="F339" s="71"/>
      <c r="G339" s="67"/>
      <c r="H339" s="67"/>
      <c r="I339" s="67"/>
      <c r="J339" s="67"/>
      <c r="K339" s="111"/>
      <c r="L339" s="68">
        <f t="shared" si="40"/>
        <v>0</v>
      </c>
      <c r="M339" s="72">
        <v>2241314.9300000002</v>
      </c>
      <c r="N339" s="78">
        <f t="shared" si="41"/>
        <v>2241314.9300000002</v>
      </c>
    </row>
    <row r="340" spans="1:14" ht="15.75" customHeight="1" x14ac:dyDescent="0.25">
      <c r="A340" s="124" t="s">
        <v>41</v>
      </c>
      <c r="B340" s="157"/>
      <c r="C340" s="141"/>
      <c r="D340" s="141"/>
      <c r="E340" s="150"/>
      <c r="F340" s="71"/>
      <c r="G340" s="67"/>
      <c r="H340" s="67"/>
      <c r="I340" s="67"/>
      <c r="J340" s="67"/>
      <c r="K340" s="111"/>
      <c r="L340" s="68">
        <f t="shared" si="40"/>
        <v>0</v>
      </c>
      <c r="M340" s="145">
        <f>G340+I340+K340</f>
        <v>0</v>
      </c>
      <c r="N340" s="78">
        <f t="shared" si="41"/>
        <v>0</v>
      </c>
    </row>
    <row r="341" spans="1:14" ht="16.5" customHeight="1" thickBot="1" x14ac:dyDescent="0.3">
      <c r="A341" s="126" t="s">
        <v>42</v>
      </c>
      <c r="B341" s="158">
        <v>78</v>
      </c>
      <c r="C341" s="159">
        <v>133</v>
      </c>
      <c r="D341" s="159">
        <v>11</v>
      </c>
      <c r="E341" s="160">
        <v>9</v>
      </c>
      <c r="F341" s="71"/>
      <c r="G341" s="67"/>
      <c r="H341" s="69"/>
      <c r="I341" s="69"/>
      <c r="J341" s="69"/>
      <c r="K341" s="113"/>
      <c r="L341" s="74">
        <f t="shared" si="40"/>
        <v>0</v>
      </c>
      <c r="M341" s="73">
        <f>SUM(G341,I341,K341)</f>
        <v>0</v>
      </c>
      <c r="N341" s="80">
        <f t="shared" si="41"/>
        <v>0</v>
      </c>
    </row>
    <row r="342" spans="1:14" ht="30" customHeight="1" thickBot="1" x14ac:dyDescent="0.3">
      <c r="A342" s="121" t="s">
        <v>9</v>
      </c>
      <c r="B342" s="127">
        <f t="shared" ref="B342:N342" si="43">SUM(B316:B341)</f>
        <v>532</v>
      </c>
      <c r="C342" s="127">
        <f t="shared" si="43"/>
        <v>1557</v>
      </c>
      <c r="D342" s="127">
        <f t="shared" si="43"/>
        <v>192</v>
      </c>
      <c r="E342" s="127">
        <f t="shared" si="43"/>
        <v>182</v>
      </c>
      <c r="F342" s="85">
        <f t="shared" si="43"/>
        <v>0</v>
      </c>
      <c r="G342" s="85">
        <f t="shared" si="43"/>
        <v>0</v>
      </c>
      <c r="H342" s="85">
        <f t="shared" si="43"/>
        <v>0</v>
      </c>
      <c r="I342" s="85">
        <f t="shared" si="43"/>
        <v>0</v>
      </c>
      <c r="J342" s="85">
        <f t="shared" si="43"/>
        <v>0</v>
      </c>
      <c r="K342" s="85">
        <f t="shared" si="43"/>
        <v>0</v>
      </c>
      <c r="L342" s="128">
        <f t="shared" si="43"/>
        <v>0</v>
      </c>
      <c r="M342" s="114">
        <f t="shared" si="43"/>
        <v>2908555.6</v>
      </c>
      <c r="N342" s="129">
        <f t="shared" si="43"/>
        <v>2908555.6</v>
      </c>
    </row>
    <row r="343" spans="1:14" ht="15.75" customHeight="1" thickBot="1" x14ac:dyDescent="0.3"/>
    <row r="344" spans="1:14" ht="30" customHeight="1" thickBot="1" x14ac:dyDescent="0.3">
      <c r="A344" s="172" t="s">
        <v>54</v>
      </c>
      <c r="B344" s="173"/>
      <c r="C344" s="173"/>
      <c r="D344" s="173"/>
      <c r="E344" s="173"/>
      <c r="F344" s="171"/>
      <c r="G344" s="175" t="str">
        <f>"INTERNAÇÕES - "&amp; '[1]intern. diaria convenio'!$N$42</f>
        <v>INTERNAÇÕES - 485</v>
      </c>
      <c r="H344" s="173"/>
      <c r="I344" s="176"/>
      <c r="J344" s="173"/>
      <c r="K344" s="175" t="str">
        <f>"DIÁRIAS - " &amp; '[1]intern. diaria convenio'!$N$88</f>
        <v>DIÁRIAS - 4241</v>
      </c>
      <c r="L344" s="173"/>
      <c r="M344" s="134"/>
      <c r="N344" s="135"/>
    </row>
    <row r="345" spans="1:14" ht="15" customHeight="1" thickBot="1" x14ac:dyDescent="0.3">
      <c r="A345" s="168" t="s">
        <v>2</v>
      </c>
      <c r="B345" s="174" t="s">
        <v>3</v>
      </c>
      <c r="C345" s="173"/>
      <c r="D345" s="173"/>
      <c r="E345" s="171"/>
      <c r="F345" s="170" t="s">
        <v>4</v>
      </c>
      <c r="G345" s="171"/>
      <c r="H345" s="170" t="s">
        <v>5</v>
      </c>
      <c r="I345" s="171"/>
      <c r="J345" s="170" t="s">
        <v>6</v>
      </c>
      <c r="K345" s="171"/>
      <c r="L345" s="117" t="s">
        <v>7</v>
      </c>
      <c r="M345" s="116" t="s">
        <v>8</v>
      </c>
      <c r="N345" s="118" t="s">
        <v>9</v>
      </c>
    </row>
    <row r="346" spans="1:14" ht="15.75" customHeight="1" thickBot="1" x14ac:dyDescent="0.3">
      <c r="A346" s="169"/>
      <c r="B346" s="122" t="s">
        <v>10</v>
      </c>
      <c r="C346" s="116" t="s">
        <v>11</v>
      </c>
      <c r="D346" s="122" t="s">
        <v>12</v>
      </c>
      <c r="E346" s="116" t="s">
        <v>13</v>
      </c>
      <c r="F346" s="109" t="s">
        <v>14</v>
      </c>
      <c r="G346" s="110" t="s">
        <v>15</v>
      </c>
      <c r="H346" s="109" t="s">
        <v>14</v>
      </c>
      <c r="I346" s="110" t="s">
        <v>15</v>
      </c>
      <c r="J346" s="109" t="s">
        <v>14</v>
      </c>
      <c r="K346" s="110" t="s">
        <v>15</v>
      </c>
      <c r="L346" s="116" t="s">
        <v>14</v>
      </c>
      <c r="M346" s="119" t="s">
        <v>15</v>
      </c>
      <c r="N346" s="120" t="s">
        <v>16</v>
      </c>
    </row>
    <row r="347" spans="1:14" ht="15.75" customHeight="1" x14ac:dyDescent="0.25">
      <c r="A347" s="123" t="s">
        <v>17</v>
      </c>
      <c r="B347" s="154"/>
      <c r="C347" s="155"/>
      <c r="D347" s="155"/>
      <c r="E347" s="156"/>
      <c r="F347" s="71"/>
      <c r="G347" s="67"/>
      <c r="H347" s="67"/>
      <c r="I347" s="67"/>
      <c r="J347" s="67"/>
      <c r="K347" s="111"/>
      <c r="L347" s="143">
        <f t="shared" ref="L347:L372" si="44">F347+H347+J347</f>
        <v>0</v>
      </c>
      <c r="M347" s="142"/>
      <c r="N347" s="115">
        <f t="shared" ref="N347:N372" si="45">M347-L347</f>
        <v>0</v>
      </c>
    </row>
    <row r="348" spans="1:14" ht="15.75" customHeight="1" x14ac:dyDescent="0.25">
      <c r="A348" s="124" t="s">
        <v>18</v>
      </c>
      <c r="B348" s="157"/>
      <c r="C348" s="141"/>
      <c r="D348" s="141"/>
      <c r="E348" s="150"/>
      <c r="F348" s="71"/>
      <c r="G348" s="67"/>
      <c r="H348" s="67"/>
      <c r="I348" s="67"/>
      <c r="J348" s="67"/>
      <c r="K348" s="111"/>
      <c r="L348" s="68">
        <f t="shared" si="44"/>
        <v>0</v>
      </c>
      <c r="M348" s="72">
        <v>0</v>
      </c>
      <c r="N348" s="78">
        <f t="shared" si="45"/>
        <v>0</v>
      </c>
    </row>
    <row r="349" spans="1:14" ht="15.75" customHeight="1" x14ac:dyDescent="0.25">
      <c r="A349" s="124" t="s">
        <v>19</v>
      </c>
      <c r="B349" s="157"/>
      <c r="C349" s="141"/>
      <c r="D349" s="141"/>
      <c r="E349" s="150"/>
      <c r="F349" s="71"/>
      <c r="G349" s="67"/>
      <c r="H349" s="67"/>
      <c r="I349" s="67"/>
      <c r="J349" s="67"/>
      <c r="K349" s="111"/>
      <c r="L349" s="68">
        <f t="shared" si="44"/>
        <v>0</v>
      </c>
      <c r="M349" s="72">
        <f>G349+I349+K349</f>
        <v>0</v>
      </c>
      <c r="N349" s="78">
        <f t="shared" si="45"/>
        <v>0</v>
      </c>
    </row>
    <row r="350" spans="1:14" ht="15.75" customHeight="1" x14ac:dyDescent="0.25">
      <c r="A350" s="124" t="s">
        <v>20</v>
      </c>
      <c r="B350" s="157"/>
      <c r="C350" s="141"/>
      <c r="D350" s="141"/>
      <c r="E350" s="150"/>
      <c r="F350" s="71"/>
      <c r="G350" s="67"/>
      <c r="H350" s="67"/>
      <c r="I350" s="67"/>
      <c r="J350" s="67"/>
      <c r="K350" s="111"/>
      <c r="L350" s="68">
        <f t="shared" si="44"/>
        <v>0</v>
      </c>
      <c r="M350" s="72"/>
      <c r="N350" s="78">
        <f t="shared" si="45"/>
        <v>0</v>
      </c>
    </row>
    <row r="351" spans="1:14" ht="15.75" customHeight="1" x14ac:dyDescent="0.25">
      <c r="A351" s="124" t="s">
        <v>21</v>
      </c>
      <c r="B351" s="157"/>
      <c r="C351" s="141"/>
      <c r="D351" s="141"/>
      <c r="E351" s="150"/>
      <c r="F351" s="71"/>
      <c r="G351" s="67"/>
      <c r="H351" s="67"/>
      <c r="I351" s="67"/>
      <c r="J351" s="67"/>
      <c r="K351" s="111"/>
      <c r="L351" s="68">
        <f t="shared" si="44"/>
        <v>0</v>
      </c>
      <c r="M351" s="72">
        <f t="shared" ref="M351:M365" si="46">SUM(G351,I351,K351)</f>
        <v>0</v>
      </c>
      <c r="N351" s="78">
        <f t="shared" si="45"/>
        <v>0</v>
      </c>
    </row>
    <row r="352" spans="1:14" ht="15.75" customHeight="1" x14ac:dyDescent="0.25">
      <c r="A352" s="124" t="s">
        <v>22</v>
      </c>
      <c r="B352" s="157"/>
      <c r="C352" s="141"/>
      <c r="D352" s="141"/>
      <c r="E352" s="150"/>
      <c r="F352" s="71"/>
      <c r="G352" s="67"/>
      <c r="H352" s="67"/>
      <c r="I352" s="67"/>
      <c r="J352" s="67"/>
      <c r="K352" s="111"/>
      <c r="L352" s="68">
        <f t="shared" si="44"/>
        <v>0</v>
      </c>
      <c r="M352" s="72">
        <f t="shared" si="46"/>
        <v>0</v>
      </c>
      <c r="N352" s="78">
        <f t="shared" si="45"/>
        <v>0</v>
      </c>
    </row>
    <row r="353" spans="1:14" ht="15.75" customHeight="1" x14ac:dyDescent="0.25">
      <c r="A353" s="125" t="s">
        <v>23</v>
      </c>
      <c r="B353" s="157"/>
      <c r="C353" s="141"/>
      <c r="D353" s="141"/>
      <c r="E353" s="150"/>
      <c r="F353" s="71"/>
      <c r="G353" s="67"/>
      <c r="H353" s="67"/>
      <c r="I353" s="67"/>
      <c r="J353" s="67"/>
      <c r="K353" s="111"/>
      <c r="L353" s="68">
        <f t="shared" si="44"/>
        <v>0</v>
      </c>
      <c r="M353" s="72">
        <f t="shared" si="46"/>
        <v>0</v>
      </c>
      <c r="N353" s="78">
        <f t="shared" si="45"/>
        <v>0</v>
      </c>
    </row>
    <row r="354" spans="1:14" ht="15.75" customHeight="1" x14ac:dyDescent="0.25">
      <c r="A354" s="124" t="s">
        <v>24</v>
      </c>
      <c r="B354" s="157"/>
      <c r="C354" s="141"/>
      <c r="D354" s="141"/>
      <c r="E354" s="150"/>
      <c r="F354" s="71"/>
      <c r="G354" s="67"/>
      <c r="H354" s="67"/>
      <c r="I354" s="67"/>
      <c r="J354" s="67"/>
      <c r="K354" s="111"/>
      <c r="L354" s="68">
        <f t="shared" si="44"/>
        <v>0</v>
      </c>
      <c r="M354" s="72">
        <f t="shared" si="46"/>
        <v>0</v>
      </c>
      <c r="N354" s="78">
        <f t="shared" si="45"/>
        <v>0</v>
      </c>
    </row>
    <row r="355" spans="1:14" ht="15.75" customHeight="1" x14ac:dyDescent="0.25">
      <c r="A355" s="124" t="s">
        <v>25</v>
      </c>
      <c r="B355" s="157"/>
      <c r="C355" s="141"/>
      <c r="D355" s="141"/>
      <c r="E355" s="150"/>
      <c r="F355" s="71"/>
      <c r="G355" s="67"/>
      <c r="H355" s="67"/>
      <c r="I355" s="67"/>
      <c r="J355" s="67"/>
      <c r="K355" s="111"/>
      <c r="L355" s="68">
        <f t="shared" si="44"/>
        <v>0</v>
      </c>
      <c r="M355" s="72">
        <f t="shared" si="46"/>
        <v>0</v>
      </c>
      <c r="N355" s="78">
        <f t="shared" si="45"/>
        <v>0</v>
      </c>
    </row>
    <row r="356" spans="1:14" ht="15.75" customHeight="1" x14ac:dyDescent="0.25">
      <c r="A356" s="124" t="s">
        <v>26</v>
      </c>
      <c r="B356" s="157"/>
      <c r="C356" s="141"/>
      <c r="D356" s="141"/>
      <c r="E356" s="150"/>
      <c r="G356" s="67"/>
      <c r="H356" s="67"/>
      <c r="I356" s="67"/>
      <c r="J356" s="71"/>
      <c r="K356" s="111"/>
      <c r="L356" s="68">
        <f t="shared" si="44"/>
        <v>0</v>
      </c>
      <c r="M356" s="72">
        <f t="shared" si="46"/>
        <v>0</v>
      </c>
      <c r="N356" s="78">
        <f t="shared" si="45"/>
        <v>0</v>
      </c>
    </row>
    <row r="357" spans="1:14" ht="15.75" customHeight="1" x14ac:dyDescent="0.25">
      <c r="A357" s="124" t="s">
        <v>27</v>
      </c>
      <c r="B357" s="157"/>
      <c r="C357" s="141"/>
      <c r="D357" s="141"/>
      <c r="E357" s="150"/>
      <c r="F357" s="71"/>
      <c r="G357" s="67"/>
      <c r="H357" s="67"/>
      <c r="I357" s="67"/>
      <c r="J357" s="67"/>
      <c r="K357" s="111"/>
      <c r="L357" s="68">
        <f t="shared" si="44"/>
        <v>0</v>
      </c>
      <c r="M357" s="72">
        <f t="shared" si="46"/>
        <v>0</v>
      </c>
      <c r="N357" s="78">
        <f t="shared" si="45"/>
        <v>0</v>
      </c>
    </row>
    <row r="358" spans="1:14" ht="15.75" customHeight="1" x14ac:dyDescent="0.25">
      <c r="A358" s="124" t="s">
        <v>28</v>
      </c>
      <c r="B358" s="157"/>
      <c r="C358" s="141"/>
      <c r="D358" s="141"/>
      <c r="E358" s="150"/>
      <c r="F358" s="71"/>
      <c r="G358" s="67"/>
      <c r="H358" s="67"/>
      <c r="I358" s="67"/>
      <c r="J358" s="67"/>
      <c r="K358" s="111"/>
      <c r="L358" s="68">
        <f t="shared" si="44"/>
        <v>0</v>
      </c>
      <c r="M358" s="72">
        <f t="shared" si="46"/>
        <v>0</v>
      </c>
      <c r="N358" s="78">
        <f t="shared" si="45"/>
        <v>0</v>
      </c>
    </row>
    <row r="359" spans="1:14" ht="15.75" customHeight="1" x14ac:dyDescent="0.25">
      <c r="A359" s="124" t="s">
        <v>29</v>
      </c>
      <c r="B359" s="157"/>
      <c r="C359" s="141"/>
      <c r="D359" s="141"/>
      <c r="E359" s="150"/>
      <c r="F359" s="71"/>
      <c r="G359" s="67"/>
      <c r="H359" s="67"/>
      <c r="I359" s="67"/>
      <c r="J359" s="67"/>
      <c r="K359" s="111"/>
      <c r="L359" s="68">
        <f t="shared" si="44"/>
        <v>0</v>
      </c>
      <c r="M359" s="72">
        <f t="shared" si="46"/>
        <v>0</v>
      </c>
      <c r="N359" s="78">
        <f t="shared" si="45"/>
        <v>0</v>
      </c>
    </row>
    <row r="360" spans="1:14" ht="15.75" customHeight="1" x14ac:dyDescent="0.25">
      <c r="A360" s="124" t="s">
        <v>30</v>
      </c>
      <c r="B360" s="157"/>
      <c r="C360" s="141"/>
      <c r="D360" s="141"/>
      <c r="E360" s="150"/>
      <c r="F360" s="71"/>
      <c r="G360" s="67"/>
      <c r="H360" s="67"/>
      <c r="I360" s="67"/>
      <c r="J360" s="67"/>
      <c r="K360" s="111"/>
      <c r="L360" s="68">
        <f t="shared" si="44"/>
        <v>0</v>
      </c>
      <c r="M360" s="72">
        <f t="shared" si="46"/>
        <v>0</v>
      </c>
      <c r="N360" s="78">
        <f t="shared" si="45"/>
        <v>0</v>
      </c>
    </row>
    <row r="361" spans="1:14" ht="15.75" customHeight="1" x14ac:dyDescent="0.25">
      <c r="A361" s="124" t="s">
        <v>31</v>
      </c>
      <c r="B361" s="157"/>
      <c r="C361" s="141"/>
      <c r="D361" s="141"/>
      <c r="E361" s="150"/>
      <c r="F361" s="71"/>
      <c r="G361" s="71"/>
      <c r="H361" s="71"/>
      <c r="I361" s="71"/>
      <c r="J361" s="71"/>
      <c r="K361" s="112"/>
      <c r="L361" s="68">
        <f t="shared" si="44"/>
        <v>0</v>
      </c>
      <c r="M361" s="72">
        <f t="shared" si="46"/>
        <v>0</v>
      </c>
      <c r="N361" s="78">
        <f t="shared" si="45"/>
        <v>0</v>
      </c>
    </row>
    <row r="362" spans="1:14" ht="15.75" customHeight="1" x14ac:dyDescent="0.25">
      <c r="A362" s="124" t="s">
        <v>32</v>
      </c>
      <c r="B362" s="157"/>
      <c r="C362" s="141"/>
      <c r="D362" s="141"/>
      <c r="E362" s="150"/>
      <c r="F362" s="71"/>
      <c r="G362" s="67"/>
      <c r="H362" s="67"/>
      <c r="I362" s="67"/>
      <c r="J362" s="67"/>
      <c r="K362" s="111"/>
      <c r="L362" s="68">
        <f t="shared" si="44"/>
        <v>0</v>
      </c>
      <c r="M362" s="72">
        <f t="shared" si="46"/>
        <v>0</v>
      </c>
      <c r="N362" s="78">
        <f t="shared" si="45"/>
        <v>0</v>
      </c>
    </row>
    <row r="363" spans="1:14" ht="15.75" customHeight="1" x14ac:dyDescent="0.25">
      <c r="A363" s="125" t="s">
        <v>33</v>
      </c>
      <c r="B363" s="157"/>
      <c r="C363" s="141"/>
      <c r="D363" s="141"/>
      <c r="E363" s="150"/>
      <c r="F363" s="71"/>
      <c r="G363" s="67"/>
      <c r="H363" s="67"/>
      <c r="I363" s="67"/>
      <c r="J363" s="67"/>
      <c r="K363" s="111"/>
      <c r="L363" s="68">
        <f t="shared" si="44"/>
        <v>0</v>
      </c>
      <c r="M363" s="72">
        <f t="shared" si="46"/>
        <v>0</v>
      </c>
      <c r="N363" s="78">
        <f t="shared" si="45"/>
        <v>0</v>
      </c>
    </row>
    <row r="364" spans="1:14" ht="15.75" customHeight="1" x14ac:dyDescent="0.25">
      <c r="A364" s="124" t="s">
        <v>34</v>
      </c>
      <c r="B364" s="157"/>
      <c r="C364" s="141"/>
      <c r="D364" s="141"/>
      <c r="E364" s="150"/>
      <c r="F364" s="71"/>
      <c r="G364" s="67"/>
      <c r="H364" s="67"/>
      <c r="I364" s="67"/>
      <c r="J364" s="67"/>
      <c r="K364" s="111"/>
      <c r="L364" s="68">
        <f t="shared" si="44"/>
        <v>0</v>
      </c>
      <c r="M364" s="72">
        <f t="shared" si="46"/>
        <v>0</v>
      </c>
      <c r="N364" s="78">
        <f t="shared" si="45"/>
        <v>0</v>
      </c>
    </row>
    <row r="365" spans="1:14" ht="15.75" customHeight="1" x14ac:dyDescent="0.25">
      <c r="A365" s="124" t="s">
        <v>35</v>
      </c>
      <c r="B365" s="157"/>
      <c r="C365" s="141"/>
      <c r="D365" s="141"/>
      <c r="E365" s="150"/>
      <c r="F365" s="71"/>
      <c r="G365" s="67"/>
      <c r="H365" s="67"/>
      <c r="I365" s="67"/>
      <c r="J365" s="67"/>
      <c r="K365" s="111"/>
      <c r="L365" s="68">
        <f t="shared" si="44"/>
        <v>0</v>
      </c>
      <c r="M365" s="72">
        <f t="shared" si="46"/>
        <v>0</v>
      </c>
      <c r="N365" s="78">
        <f t="shared" si="45"/>
        <v>0</v>
      </c>
    </row>
    <row r="366" spans="1:14" ht="15.75" customHeight="1" x14ac:dyDescent="0.25">
      <c r="A366" s="124" t="s">
        <v>36</v>
      </c>
      <c r="B366" s="157"/>
      <c r="C366" s="141"/>
      <c r="D366" s="141"/>
      <c r="E366" s="150"/>
      <c r="F366" s="71"/>
      <c r="G366" s="67"/>
      <c r="H366" s="67"/>
      <c r="I366" s="67"/>
      <c r="J366" s="67"/>
      <c r="K366" s="111"/>
      <c r="L366" s="68">
        <f t="shared" si="44"/>
        <v>0</v>
      </c>
      <c r="M366" s="72">
        <v>400000</v>
      </c>
      <c r="N366" s="78">
        <f t="shared" si="45"/>
        <v>400000</v>
      </c>
    </row>
    <row r="367" spans="1:14" ht="15.75" customHeight="1" x14ac:dyDescent="0.25">
      <c r="A367" s="125" t="s">
        <v>37</v>
      </c>
      <c r="B367" s="157"/>
      <c r="C367" s="141"/>
      <c r="D367" s="141"/>
      <c r="E367" s="150"/>
      <c r="F367" s="108"/>
      <c r="G367" s="67"/>
      <c r="H367" s="67"/>
      <c r="I367" s="67"/>
      <c r="J367" s="67"/>
      <c r="K367" s="111"/>
      <c r="L367" s="68">
        <f t="shared" si="44"/>
        <v>0</v>
      </c>
      <c r="M367" s="145">
        <f>G367+I367+K367</f>
        <v>0</v>
      </c>
      <c r="N367" s="78">
        <f t="shared" si="45"/>
        <v>0</v>
      </c>
    </row>
    <row r="368" spans="1:14" ht="15.75" customHeight="1" x14ac:dyDescent="0.25">
      <c r="A368" s="124" t="s">
        <v>38</v>
      </c>
      <c r="B368" s="157"/>
      <c r="C368" s="141"/>
      <c r="D368" s="141"/>
      <c r="E368" s="150"/>
      <c r="F368" s="71"/>
      <c r="G368" s="67"/>
      <c r="H368" s="71"/>
      <c r="I368" s="67"/>
      <c r="J368" s="67"/>
      <c r="K368" s="111"/>
      <c r="L368" s="68">
        <f t="shared" si="44"/>
        <v>0</v>
      </c>
      <c r="M368" s="72"/>
      <c r="N368" s="78">
        <f t="shared" si="45"/>
        <v>0</v>
      </c>
    </row>
    <row r="369" spans="1:16" ht="15.75" customHeight="1" x14ac:dyDescent="0.25">
      <c r="A369" s="124" t="s">
        <v>39</v>
      </c>
      <c r="B369" s="157"/>
      <c r="C369" s="141"/>
      <c r="D369" s="141"/>
      <c r="E369" s="150"/>
      <c r="F369" s="71"/>
      <c r="G369" s="67"/>
      <c r="H369" s="67"/>
      <c r="I369" s="67"/>
      <c r="J369" s="67"/>
      <c r="K369" s="111"/>
      <c r="L369" s="68">
        <f t="shared" si="44"/>
        <v>0</v>
      </c>
      <c r="M369" s="72">
        <f>G369+I369+K369</f>
        <v>0</v>
      </c>
      <c r="N369" s="78">
        <f t="shared" si="45"/>
        <v>0</v>
      </c>
    </row>
    <row r="370" spans="1:16" ht="15.75" customHeight="1" x14ac:dyDescent="0.25">
      <c r="A370" s="124" t="s">
        <v>40</v>
      </c>
      <c r="B370" s="157"/>
      <c r="C370" s="141"/>
      <c r="D370" s="141"/>
      <c r="E370" s="150"/>
      <c r="F370" s="71"/>
      <c r="G370" s="67"/>
      <c r="H370" s="67"/>
      <c r="I370" s="67"/>
      <c r="J370" s="67"/>
      <c r="K370" s="111"/>
      <c r="L370" s="68">
        <f t="shared" si="44"/>
        <v>0</v>
      </c>
      <c r="M370" s="72"/>
      <c r="N370" s="78">
        <f t="shared" si="45"/>
        <v>0</v>
      </c>
    </row>
    <row r="371" spans="1:16" ht="15.75" customHeight="1" x14ac:dyDescent="0.25">
      <c r="A371" s="124" t="s">
        <v>41</v>
      </c>
      <c r="B371" s="157"/>
      <c r="C371" s="141"/>
      <c r="D371" s="141"/>
      <c r="E371" s="150"/>
      <c r="F371" s="71"/>
      <c r="G371" s="67"/>
      <c r="H371" s="67"/>
      <c r="I371" s="67"/>
      <c r="J371" s="67"/>
      <c r="K371" s="111"/>
      <c r="L371" s="68">
        <f t="shared" si="44"/>
        <v>0</v>
      </c>
      <c r="M371" s="145">
        <f>G371+I371+K371</f>
        <v>0</v>
      </c>
      <c r="N371" s="78">
        <f t="shared" si="45"/>
        <v>0</v>
      </c>
    </row>
    <row r="372" spans="1:16" ht="16.5" customHeight="1" thickBot="1" x14ac:dyDescent="0.3">
      <c r="A372" s="126" t="s">
        <v>42</v>
      </c>
      <c r="B372" s="158"/>
      <c r="C372" s="159"/>
      <c r="D372" s="159"/>
      <c r="E372" s="160"/>
      <c r="F372" s="71"/>
      <c r="G372" s="67"/>
      <c r="H372" s="69"/>
      <c r="I372" s="69"/>
      <c r="J372" s="69"/>
      <c r="K372" s="113"/>
      <c r="L372" s="74">
        <f t="shared" si="44"/>
        <v>0</v>
      </c>
      <c r="M372" s="73">
        <f>SUM(G372,I372,K372)</f>
        <v>0</v>
      </c>
      <c r="N372" s="80">
        <f t="shared" si="45"/>
        <v>0</v>
      </c>
    </row>
    <row r="373" spans="1:16" ht="30" customHeight="1" thickBot="1" x14ac:dyDescent="0.3">
      <c r="A373" s="121" t="s">
        <v>9</v>
      </c>
      <c r="B373" s="127">
        <f t="shared" ref="B373:N373" si="47">SUM(B347:B372)</f>
        <v>0</v>
      </c>
      <c r="C373" s="127">
        <f t="shared" si="47"/>
        <v>0</v>
      </c>
      <c r="D373" s="127">
        <f t="shared" si="47"/>
        <v>0</v>
      </c>
      <c r="E373" s="127">
        <f t="shared" si="47"/>
        <v>0</v>
      </c>
      <c r="F373" s="85">
        <f t="shared" si="47"/>
        <v>0</v>
      </c>
      <c r="G373" s="85">
        <f t="shared" si="47"/>
        <v>0</v>
      </c>
      <c r="H373" s="85">
        <f t="shared" si="47"/>
        <v>0</v>
      </c>
      <c r="I373" s="85">
        <f t="shared" si="47"/>
        <v>0</v>
      </c>
      <c r="J373" s="85">
        <f t="shared" si="47"/>
        <v>0</v>
      </c>
      <c r="K373" s="85">
        <f t="shared" si="47"/>
        <v>0</v>
      </c>
      <c r="L373" s="128">
        <f t="shared" si="47"/>
        <v>0</v>
      </c>
      <c r="M373" s="114">
        <f t="shared" si="47"/>
        <v>400000</v>
      </c>
      <c r="N373" s="129">
        <f t="shared" si="47"/>
        <v>400000</v>
      </c>
    </row>
    <row r="374" spans="1:16" ht="15.75" customHeight="1" thickBot="1" x14ac:dyDescent="0.3"/>
    <row r="375" spans="1:16" ht="30" customHeight="1" thickBot="1" x14ac:dyDescent="0.3">
      <c r="A375" s="172" t="s">
        <v>55</v>
      </c>
      <c r="B375" s="173"/>
      <c r="C375" s="173"/>
      <c r="D375" s="173"/>
      <c r="E375" s="173"/>
      <c r="F375" s="171"/>
      <c r="G375" s="175" t="str">
        <f>"INTERNAÇÕES - "&amp; '[1]intern. diaria convenio'!$O$42</f>
        <v>INTERNAÇÕES - 6440</v>
      </c>
      <c r="H375" s="173"/>
      <c r="I375" s="176"/>
      <c r="J375" s="173"/>
      <c r="K375" s="175" t="str">
        <f>"DIÁRIAS - " &amp; '[1]intern. diaria convenio'!$O$88</f>
        <v>DIÁRIAS - 55786</v>
      </c>
      <c r="L375" s="173"/>
      <c r="M375" s="134"/>
      <c r="N375" s="135"/>
    </row>
    <row r="376" spans="1:16" ht="15" customHeight="1" thickBot="1" x14ac:dyDescent="0.3">
      <c r="A376" s="168" t="s">
        <v>2</v>
      </c>
      <c r="B376" s="174" t="s">
        <v>3</v>
      </c>
      <c r="C376" s="173"/>
      <c r="D376" s="173"/>
      <c r="E376" s="171"/>
      <c r="F376" s="170" t="s">
        <v>4</v>
      </c>
      <c r="G376" s="171"/>
      <c r="H376" s="170" t="s">
        <v>5</v>
      </c>
      <c r="I376" s="171"/>
      <c r="J376" s="170" t="s">
        <v>6</v>
      </c>
      <c r="K376" s="171"/>
      <c r="L376" s="117" t="s">
        <v>7</v>
      </c>
      <c r="M376" s="116" t="s">
        <v>8</v>
      </c>
      <c r="N376" s="118" t="s">
        <v>9</v>
      </c>
    </row>
    <row r="377" spans="1:16" ht="15.75" customHeight="1" thickBot="1" x14ac:dyDescent="0.3">
      <c r="A377" s="169"/>
      <c r="B377" s="151" t="s">
        <v>10</v>
      </c>
      <c r="C377" s="152" t="s">
        <v>11</v>
      </c>
      <c r="D377" s="152" t="s">
        <v>12</v>
      </c>
      <c r="E377" s="152" t="s">
        <v>13</v>
      </c>
      <c r="F377" s="119" t="s">
        <v>14</v>
      </c>
      <c r="G377" s="110" t="s">
        <v>15</v>
      </c>
      <c r="H377" s="109" t="s">
        <v>14</v>
      </c>
      <c r="I377" s="110" t="s">
        <v>15</v>
      </c>
      <c r="J377" s="109" t="s">
        <v>14</v>
      </c>
      <c r="K377" s="110" t="s">
        <v>15</v>
      </c>
      <c r="L377" s="116" t="s">
        <v>14</v>
      </c>
      <c r="M377" s="119" t="s">
        <v>15</v>
      </c>
      <c r="N377" s="120" t="s">
        <v>16</v>
      </c>
    </row>
    <row r="378" spans="1:16" ht="15.75" customHeight="1" x14ac:dyDescent="0.25">
      <c r="A378" s="146" t="s">
        <v>17</v>
      </c>
      <c r="B378" s="154">
        <f t="shared" ref="B378:K378" si="48">B347+B316+B285+B254+B223+B192+B161+B130+B99+B68+B37+B6</f>
        <v>7</v>
      </c>
      <c r="C378" s="155">
        <f t="shared" si="48"/>
        <v>290</v>
      </c>
      <c r="D378" s="155">
        <f t="shared" si="48"/>
        <v>4</v>
      </c>
      <c r="E378" s="156">
        <f t="shared" si="48"/>
        <v>11</v>
      </c>
      <c r="F378" s="71">
        <f t="shared" si="48"/>
        <v>120017</v>
      </c>
      <c r="G378" s="71">
        <f t="shared" si="48"/>
        <v>0</v>
      </c>
      <c r="H378" s="71">
        <f t="shared" si="48"/>
        <v>203709.68</v>
      </c>
      <c r="I378" s="71">
        <f t="shared" si="48"/>
        <v>0</v>
      </c>
      <c r="J378" s="71">
        <f t="shared" si="48"/>
        <v>441422.11</v>
      </c>
      <c r="K378" s="71">
        <f t="shared" si="48"/>
        <v>0</v>
      </c>
      <c r="L378" s="68">
        <f t="shared" ref="L378:L400" si="49">F378+H378+J378</f>
        <v>765148.79</v>
      </c>
      <c r="M378" s="72">
        <f t="shared" ref="M378:M403" si="50">M347+M316+M285+M254+M223+M192+M161+M130+M99+M68+M37+M6</f>
        <v>1746188.53</v>
      </c>
      <c r="N378" s="115">
        <f t="shared" ref="N378:N404" si="51">M378-L378</f>
        <v>981039.74</v>
      </c>
      <c r="P378" s="166">
        <f t="shared" ref="P378:P403" si="52">M347*12</f>
        <v>0</v>
      </c>
    </row>
    <row r="379" spans="1:16" ht="15.75" customHeight="1" x14ac:dyDescent="0.25">
      <c r="A379" s="147" t="s">
        <v>18</v>
      </c>
      <c r="B379" s="157">
        <f t="shared" ref="B379:K379" si="53">B348+B317+B286+B255+B224+B193+B162+B131+B100+B69+B38+B7</f>
        <v>0</v>
      </c>
      <c r="C379" s="141">
        <f t="shared" si="53"/>
        <v>21</v>
      </c>
      <c r="D379" s="141">
        <f t="shared" si="53"/>
        <v>0</v>
      </c>
      <c r="E379" s="150">
        <f t="shared" si="53"/>
        <v>3</v>
      </c>
      <c r="F379" s="71">
        <f t="shared" si="53"/>
        <v>90528.900000000009</v>
      </c>
      <c r="G379" s="71">
        <f t="shared" si="53"/>
        <v>0</v>
      </c>
      <c r="H379" s="71">
        <f t="shared" si="53"/>
        <v>20169.88</v>
      </c>
      <c r="I379" s="71">
        <f t="shared" si="53"/>
        <v>0</v>
      </c>
      <c r="J379" s="71">
        <f t="shared" si="53"/>
        <v>17237.34</v>
      </c>
      <c r="K379" s="71">
        <f t="shared" si="53"/>
        <v>0</v>
      </c>
      <c r="L379" s="68">
        <f t="shared" si="49"/>
        <v>127936.12000000001</v>
      </c>
      <c r="M379" s="72">
        <f t="shared" si="50"/>
        <v>656737.43000000005</v>
      </c>
      <c r="N379" s="78">
        <f t="shared" si="51"/>
        <v>528801.31000000006</v>
      </c>
      <c r="P379" s="166">
        <f t="shared" si="52"/>
        <v>0</v>
      </c>
    </row>
    <row r="380" spans="1:16" ht="15.75" customHeight="1" x14ac:dyDescent="0.25">
      <c r="A380" s="147" t="s">
        <v>19</v>
      </c>
      <c r="B380" s="157">
        <f t="shared" ref="B380:K380" si="54">B349+B318+B287+B256+B225+B194+B163+B132+B101+B70+B39+B8</f>
        <v>0</v>
      </c>
      <c r="C380" s="141">
        <f t="shared" si="54"/>
        <v>0</v>
      </c>
      <c r="D380" s="141">
        <f t="shared" si="54"/>
        <v>0</v>
      </c>
      <c r="E380" s="150">
        <f t="shared" si="54"/>
        <v>0</v>
      </c>
      <c r="F380" s="71">
        <f t="shared" si="54"/>
        <v>0</v>
      </c>
      <c r="G380" s="71">
        <f t="shared" si="54"/>
        <v>0</v>
      </c>
      <c r="H380" s="71">
        <f t="shared" si="54"/>
        <v>0</v>
      </c>
      <c r="I380" s="71">
        <f t="shared" si="54"/>
        <v>0</v>
      </c>
      <c r="J380" s="71">
        <f t="shared" si="54"/>
        <v>0</v>
      </c>
      <c r="K380" s="71">
        <f t="shared" si="54"/>
        <v>0</v>
      </c>
      <c r="L380" s="68">
        <f t="shared" si="49"/>
        <v>0</v>
      </c>
      <c r="M380" s="72">
        <f t="shared" si="50"/>
        <v>0</v>
      </c>
      <c r="N380" s="78">
        <f t="shared" si="51"/>
        <v>0</v>
      </c>
      <c r="P380" s="166">
        <f t="shared" si="52"/>
        <v>0</v>
      </c>
    </row>
    <row r="381" spans="1:16" ht="15.75" customHeight="1" x14ac:dyDescent="0.25">
      <c r="A381" s="147" t="s">
        <v>20</v>
      </c>
      <c r="B381" s="157">
        <f t="shared" ref="B381:K381" si="55">B350+B319+B288+B257+B226+B195+B164+B133+B102+B71+B40+B9</f>
        <v>0</v>
      </c>
      <c r="C381" s="141">
        <f t="shared" si="55"/>
        <v>21</v>
      </c>
      <c r="D381" s="141">
        <f t="shared" si="55"/>
        <v>0</v>
      </c>
      <c r="E381" s="150">
        <f t="shared" si="55"/>
        <v>0</v>
      </c>
      <c r="F381" s="71">
        <f t="shared" si="55"/>
        <v>10663.56</v>
      </c>
      <c r="G381" s="71">
        <f t="shared" si="55"/>
        <v>68502.820000000007</v>
      </c>
      <c r="H381" s="71">
        <f t="shared" si="55"/>
        <v>19563.25</v>
      </c>
      <c r="I381" s="71">
        <f t="shared" si="55"/>
        <v>19680</v>
      </c>
      <c r="J381" s="71">
        <f t="shared" si="55"/>
        <v>54164.32</v>
      </c>
      <c r="K381" s="71">
        <f t="shared" si="55"/>
        <v>110775.36000000002</v>
      </c>
      <c r="L381" s="68">
        <f t="shared" si="49"/>
        <v>84391.13</v>
      </c>
      <c r="M381" s="72">
        <f t="shared" si="50"/>
        <v>353229.33</v>
      </c>
      <c r="N381" s="78">
        <f t="shared" si="51"/>
        <v>268838.2</v>
      </c>
      <c r="P381" s="166">
        <f t="shared" si="52"/>
        <v>0</v>
      </c>
    </row>
    <row r="382" spans="1:16" ht="15.75" customHeight="1" x14ac:dyDescent="0.25">
      <c r="A382" s="147" t="s">
        <v>21</v>
      </c>
      <c r="B382" s="157">
        <f t="shared" ref="B382:K382" si="56">B351+B320+B289+B258+B227+B196+B165+B134+B103+B72+B41+B10</f>
        <v>53</v>
      </c>
      <c r="C382" s="141">
        <f t="shared" si="56"/>
        <v>2</v>
      </c>
      <c r="D382" s="141">
        <f t="shared" si="56"/>
        <v>0</v>
      </c>
      <c r="E382" s="150">
        <f t="shared" si="56"/>
        <v>7</v>
      </c>
      <c r="F382" s="71">
        <f t="shared" si="56"/>
        <v>17621.509999999998</v>
      </c>
      <c r="G382" s="71">
        <f t="shared" si="56"/>
        <v>84773.9</v>
      </c>
      <c r="H382" s="71">
        <f t="shared" si="56"/>
        <v>32419.100000000002</v>
      </c>
      <c r="I382" s="71">
        <f t="shared" si="56"/>
        <v>28611.790000000005</v>
      </c>
      <c r="J382" s="71">
        <f t="shared" si="56"/>
        <v>27459.649999999998</v>
      </c>
      <c r="K382" s="71">
        <f t="shared" si="56"/>
        <v>11439.900000000001</v>
      </c>
      <c r="L382" s="68">
        <f t="shared" si="49"/>
        <v>77500.259999999995</v>
      </c>
      <c r="M382" s="72">
        <f t="shared" si="50"/>
        <v>124825.59</v>
      </c>
      <c r="N382" s="78">
        <f t="shared" si="51"/>
        <v>47325.33</v>
      </c>
      <c r="P382" s="166">
        <f t="shared" si="52"/>
        <v>0</v>
      </c>
    </row>
    <row r="383" spans="1:16" ht="15.75" customHeight="1" x14ac:dyDescent="0.25">
      <c r="A383" s="147" t="s">
        <v>22</v>
      </c>
      <c r="B383" s="157">
        <f t="shared" ref="B383:K383" si="57">B352+B321+B290+B259+B228+B197+B166+B135+B104+B73+B42+B11</f>
        <v>33</v>
      </c>
      <c r="C383" s="141">
        <f t="shared" si="57"/>
        <v>0</v>
      </c>
      <c r="D383" s="141">
        <f t="shared" si="57"/>
        <v>4</v>
      </c>
      <c r="E383" s="150">
        <f t="shared" si="57"/>
        <v>3</v>
      </c>
      <c r="F383" s="71">
        <f t="shared" si="57"/>
        <v>7274.4699999999993</v>
      </c>
      <c r="G383" s="71">
        <f t="shared" si="57"/>
        <v>11839.69</v>
      </c>
      <c r="H383" s="71">
        <f t="shared" si="57"/>
        <v>6293.45</v>
      </c>
      <c r="I383" s="71">
        <f t="shared" si="57"/>
        <v>4368.3</v>
      </c>
      <c r="J383" s="71">
        <f t="shared" si="57"/>
        <v>7098.12</v>
      </c>
      <c r="K383" s="71">
        <f t="shared" si="57"/>
        <v>3158.9</v>
      </c>
      <c r="L383" s="68">
        <f t="shared" si="49"/>
        <v>20666.039999999997</v>
      </c>
      <c r="M383" s="72">
        <f t="shared" si="50"/>
        <v>19366.890000000003</v>
      </c>
      <c r="N383" s="78">
        <f t="shared" si="51"/>
        <v>-1299.1499999999942</v>
      </c>
      <c r="P383" s="166">
        <f t="shared" si="52"/>
        <v>0</v>
      </c>
    </row>
    <row r="384" spans="1:16" ht="15.75" customHeight="1" x14ac:dyDescent="0.25">
      <c r="A384" s="148" t="s">
        <v>23</v>
      </c>
      <c r="B384" s="157">
        <f t="shared" ref="B384:K384" si="58">B353+B322+B291+B260+B229+B198+B167+B136+B105+B74+B43+B12</f>
        <v>0</v>
      </c>
      <c r="C384" s="141">
        <f t="shared" si="58"/>
        <v>0</v>
      </c>
      <c r="D384" s="141">
        <f t="shared" si="58"/>
        <v>0</v>
      </c>
      <c r="E384" s="150">
        <f t="shared" si="58"/>
        <v>0</v>
      </c>
      <c r="F384" s="71">
        <f t="shared" si="58"/>
        <v>0</v>
      </c>
      <c r="G384" s="71">
        <f t="shared" si="58"/>
        <v>0</v>
      </c>
      <c r="H384" s="71">
        <f t="shared" si="58"/>
        <v>0</v>
      </c>
      <c r="I384" s="71">
        <f t="shared" si="58"/>
        <v>0</v>
      </c>
      <c r="J384" s="71">
        <f t="shared" si="58"/>
        <v>0</v>
      </c>
      <c r="K384" s="71">
        <f t="shared" si="58"/>
        <v>0</v>
      </c>
      <c r="L384" s="68">
        <f t="shared" si="49"/>
        <v>0</v>
      </c>
      <c r="M384" s="72">
        <f t="shared" si="50"/>
        <v>0</v>
      </c>
      <c r="N384" s="78">
        <f t="shared" si="51"/>
        <v>0</v>
      </c>
      <c r="P384" s="166">
        <f t="shared" si="52"/>
        <v>0</v>
      </c>
    </row>
    <row r="385" spans="1:16" ht="15.75" customHeight="1" x14ac:dyDescent="0.25">
      <c r="A385" s="147" t="s">
        <v>24</v>
      </c>
      <c r="B385" s="157">
        <f t="shared" ref="B385:K385" si="59">B354+B323+B292+B261+B230+B199+B168+B137+B106+B75+B44+B13</f>
        <v>222</v>
      </c>
      <c r="C385" s="141">
        <f t="shared" si="59"/>
        <v>0</v>
      </c>
      <c r="D385" s="141">
        <f t="shared" si="59"/>
        <v>4</v>
      </c>
      <c r="E385" s="150">
        <f t="shared" si="59"/>
        <v>2</v>
      </c>
      <c r="F385" s="71">
        <f t="shared" si="59"/>
        <v>383586.56999999995</v>
      </c>
      <c r="G385" s="71">
        <f t="shared" si="59"/>
        <v>702952.54</v>
      </c>
      <c r="H385" s="71">
        <f t="shared" si="59"/>
        <v>351885.75</v>
      </c>
      <c r="I385" s="71">
        <f t="shared" si="59"/>
        <v>149835.04</v>
      </c>
      <c r="J385" s="71">
        <f t="shared" si="59"/>
        <v>276387.65000000002</v>
      </c>
      <c r="K385" s="71">
        <f t="shared" si="59"/>
        <v>115143.82</v>
      </c>
      <c r="L385" s="68">
        <f t="shared" si="49"/>
        <v>1011859.97</v>
      </c>
      <c r="M385" s="72">
        <f t="shared" si="50"/>
        <v>967931.4</v>
      </c>
      <c r="N385" s="78">
        <f t="shared" si="51"/>
        <v>-43928.569999999949</v>
      </c>
      <c r="P385" s="166">
        <f t="shared" si="52"/>
        <v>0</v>
      </c>
    </row>
    <row r="386" spans="1:16" ht="15.75" customHeight="1" x14ac:dyDescent="0.25">
      <c r="A386" s="147" t="s">
        <v>25</v>
      </c>
      <c r="B386" s="157">
        <f t="shared" ref="B386:K386" si="60">B355+B324+B293+B262+B231+B200+B169+B138+B107+B76+B45+B14</f>
        <v>0</v>
      </c>
      <c r="C386" s="141">
        <f t="shared" si="60"/>
        <v>63</v>
      </c>
      <c r="D386" s="141">
        <f t="shared" si="60"/>
        <v>0</v>
      </c>
      <c r="E386" s="150">
        <f t="shared" si="60"/>
        <v>4</v>
      </c>
      <c r="F386" s="71">
        <f t="shared" si="60"/>
        <v>49177.930000000008</v>
      </c>
      <c r="G386" s="71">
        <f t="shared" si="60"/>
        <v>189274.05000000005</v>
      </c>
      <c r="H386" s="71">
        <f t="shared" si="60"/>
        <v>60188.160000000003</v>
      </c>
      <c r="I386" s="71">
        <f t="shared" si="60"/>
        <v>42976.72</v>
      </c>
      <c r="J386" s="71">
        <f t="shared" si="60"/>
        <v>50982.859999999993</v>
      </c>
      <c r="K386" s="71">
        <f t="shared" si="60"/>
        <v>23681.040000000001</v>
      </c>
      <c r="L386" s="68">
        <f t="shared" si="49"/>
        <v>160348.95000000001</v>
      </c>
      <c r="M386" s="72">
        <f t="shared" si="50"/>
        <v>255931.81000000006</v>
      </c>
      <c r="N386" s="78">
        <f t="shared" si="51"/>
        <v>95582.860000000044</v>
      </c>
      <c r="P386" s="166">
        <f t="shared" si="52"/>
        <v>0</v>
      </c>
    </row>
    <row r="387" spans="1:16" ht="15.75" customHeight="1" x14ac:dyDescent="0.25">
      <c r="A387" s="147" t="s">
        <v>26</v>
      </c>
      <c r="B387" s="157">
        <f t="shared" ref="B387:K387" si="61">B356+B325+B294+B263+B232+B201+B170+B139+B108+B77+B46+B15</f>
        <v>0</v>
      </c>
      <c r="C387" s="141">
        <f t="shared" si="61"/>
        <v>0</v>
      </c>
      <c r="D387" s="141">
        <f t="shared" si="61"/>
        <v>0</v>
      </c>
      <c r="E387" s="150">
        <f t="shared" si="61"/>
        <v>0</v>
      </c>
      <c r="F387" s="71">
        <f t="shared" si="61"/>
        <v>328.95</v>
      </c>
      <c r="G387" s="71">
        <f t="shared" si="61"/>
        <v>2391.5700000000002</v>
      </c>
      <c r="H387" s="71">
        <f t="shared" si="61"/>
        <v>558.95000000000005</v>
      </c>
      <c r="I387" s="71">
        <f t="shared" si="61"/>
        <v>189</v>
      </c>
      <c r="J387" s="71">
        <f t="shared" si="61"/>
        <v>944.45</v>
      </c>
      <c r="K387" s="71">
        <f t="shared" si="61"/>
        <v>751.96</v>
      </c>
      <c r="L387" s="68">
        <f t="shared" si="49"/>
        <v>1832.3500000000001</v>
      </c>
      <c r="M387" s="72">
        <f t="shared" si="50"/>
        <v>3332.53</v>
      </c>
      <c r="N387" s="78">
        <f t="shared" si="51"/>
        <v>1500.18</v>
      </c>
      <c r="P387" s="166">
        <f t="shared" si="52"/>
        <v>0</v>
      </c>
    </row>
    <row r="388" spans="1:16" ht="15.75" customHeight="1" x14ac:dyDescent="0.25">
      <c r="A388" s="147" t="s">
        <v>27</v>
      </c>
      <c r="B388" s="157">
        <f t="shared" ref="B388:K388" si="62">B357+B326+B295+B264+B233+B202+B171+B140+B109+B78+B47+B16</f>
        <v>85</v>
      </c>
      <c r="C388" s="141">
        <f t="shared" si="62"/>
        <v>3</v>
      </c>
      <c r="D388" s="141">
        <f t="shared" si="62"/>
        <v>3</v>
      </c>
      <c r="E388" s="150">
        <f t="shared" si="62"/>
        <v>0</v>
      </c>
      <c r="F388" s="71">
        <f t="shared" si="62"/>
        <v>1905598.6099999999</v>
      </c>
      <c r="G388" s="71">
        <f t="shared" si="62"/>
        <v>287339.52000000002</v>
      </c>
      <c r="H388" s="71">
        <f t="shared" si="62"/>
        <v>111059.25</v>
      </c>
      <c r="I388" s="71">
        <f t="shared" si="62"/>
        <v>67284.280000000013</v>
      </c>
      <c r="J388" s="71">
        <f t="shared" si="62"/>
        <v>66450.5</v>
      </c>
      <c r="K388" s="71">
        <f t="shared" si="62"/>
        <v>21267.77</v>
      </c>
      <c r="L388" s="68">
        <f t="shared" si="49"/>
        <v>2083108.3599999999</v>
      </c>
      <c r="M388" s="72">
        <f t="shared" si="50"/>
        <v>375891.57</v>
      </c>
      <c r="N388" s="78">
        <f t="shared" si="51"/>
        <v>-1707216.7899999998</v>
      </c>
      <c r="P388" s="166">
        <f t="shared" si="52"/>
        <v>0</v>
      </c>
    </row>
    <row r="389" spans="1:16" ht="15.75" customHeight="1" x14ac:dyDescent="0.25">
      <c r="A389" s="147" t="s">
        <v>28</v>
      </c>
      <c r="B389" s="157">
        <f t="shared" ref="B389:K389" si="63">B358+B327+B296+B265+B234+B203+B172+B141+B110+B79+B48+B17</f>
        <v>0</v>
      </c>
      <c r="C389" s="141">
        <f t="shared" si="63"/>
        <v>2</v>
      </c>
      <c r="D389" s="141">
        <f t="shared" si="63"/>
        <v>0</v>
      </c>
      <c r="E389" s="150">
        <f t="shared" si="63"/>
        <v>0</v>
      </c>
      <c r="F389" s="71">
        <f t="shared" si="63"/>
        <v>40860.6</v>
      </c>
      <c r="G389" s="71">
        <f t="shared" si="63"/>
        <v>16529.07</v>
      </c>
      <c r="H389" s="71">
        <f t="shared" si="63"/>
        <v>558.95000000000005</v>
      </c>
      <c r="I389" s="71">
        <f t="shared" si="63"/>
        <v>291</v>
      </c>
      <c r="J389" s="71">
        <f t="shared" si="63"/>
        <v>0</v>
      </c>
      <c r="K389" s="71">
        <f t="shared" si="63"/>
        <v>0</v>
      </c>
      <c r="L389" s="68">
        <f t="shared" si="49"/>
        <v>41419.549999999996</v>
      </c>
      <c r="M389" s="72">
        <f t="shared" si="50"/>
        <v>16820.07</v>
      </c>
      <c r="N389" s="78">
        <f t="shared" si="51"/>
        <v>-24599.479999999996</v>
      </c>
      <c r="P389" s="166">
        <f t="shared" si="52"/>
        <v>0</v>
      </c>
    </row>
    <row r="390" spans="1:16" ht="15.75" customHeight="1" x14ac:dyDescent="0.25">
      <c r="A390" s="147" t="s">
        <v>29</v>
      </c>
      <c r="B390" s="157">
        <f t="shared" ref="B390:K390" si="64">B359+B328+B297+B266+B235+B204+B173+B142+B111+B80+B49+B18</f>
        <v>2358</v>
      </c>
      <c r="C390" s="141">
        <f t="shared" si="64"/>
        <v>627</v>
      </c>
      <c r="D390" s="141">
        <f t="shared" si="64"/>
        <v>160</v>
      </c>
      <c r="E390" s="150">
        <f t="shared" si="64"/>
        <v>107</v>
      </c>
      <c r="F390" s="71">
        <f t="shared" si="64"/>
        <v>5623377.3100000005</v>
      </c>
      <c r="G390" s="71">
        <f t="shared" si="64"/>
        <v>776390.74000000011</v>
      </c>
      <c r="H390" s="71">
        <f t="shared" si="64"/>
        <v>2239916.96</v>
      </c>
      <c r="I390" s="71">
        <f t="shared" si="64"/>
        <v>3084784.63</v>
      </c>
      <c r="J390" s="71">
        <f t="shared" si="64"/>
        <v>267939.40999999997</v>
      </c>
      <c r="K390" s="71">
        <f t="shared" si="64"/>
        <v>211948.36000000002</v>
      </c>
      <c r="L390" s="68">
        <f t="shared" si="49"/>
        <v>8131233.6800000006</v>
      </c>
      <c r="M390" s="72">
        <f t="shared" si="50"/>
        <v>4073123.7300000004</v>
      </c>
      <c r="N390" s="78">
        <f t="shared" si="51"/>
        <v>-4058109.95</v>
      </c>
      <c r="P390" s="166">
        <f t="shared" si="52"/>
        <v>0</v>
      </c>
    </row>
    <row r="391" spans="1:16" ht="15" customHeight="1" x14ac:dyDescent="0.25">
      <c r="A391" s="147" t="s">
        <v>30</v>
      </c>
      <c r="B391" s="157">
        <f t="shared" ref="B391:K391" si="65">B360+B329+B298+B267+B236+B205+B174+B143+B112+B81+B50+B19</f>
        <v>0</v>
      </c>
      <c r="C391" s="141">
        <f t="shared" si="65"/>
        <v>0</v>
      </c>
      <c r="D391" s="141">
        <f t="shared" si="65"/>
        <v>0</v>
      </c>
      <c r="E391" s="150">
        <f t="shared" si="65"/>
        <v>0</v>
      </c>
      <c r="F391" s="71">
        <f t="shared" si="65"/>
        <v>0</v>
      </c>
      <c r="G391" s="71">
        <f t="shared" si="65"/>
        <v>0</v>
      </c>
      <c r="H391" s="71">
        <f t="shared" si="65"/>
        <v>0</v>
      </c>
      <c r="I391" s="71">
        <f t="shared" si="65"/>
        <v>0</v>
      </c>
      <c r="J391" s="71">
        <f t="shared" si="65"/>
        <v>0</v>
      </c>
      <c r="K391" s="71">
        <f t="shared" si="65"/>
        <v>0</v>
      </c>
      <c r="L391" s="68">
        <f t="shared" si="49"/>
        <v>0</v>
      </c>
      <c r="M391" s="72">
        <f t="shared" si="50"/>
        <v>0</v>
      </c>
      <c r="N391" s="78">
        <f t="shared" si="51"/>
        <v>0</v>
      </c>
      <c r="P391" s="166">
        <f t="shared" si="52"/>
        <v>0</v>
      </c>
    </row>
    <row r="392" spans="1:16" ht="15" customHeight="1" x14ac:dyDescent="0.25">
      <c r="A392" s="147" t="s">
        <v>31</v>
      </c>
      <c r="B392" s="157">
        <f t="shared" ref="B392:K392" si="66">B361+B330+B299+B268+B237+B206+B175+B144+B113+B82+B51+B20</f>
        <v>0</v>
      </c>
      <c r="C392" s="141">
        <f t="shared" si="66"/>
        <v>0</v>
      </c>
      <c r="D392" s="141">
        <f t="shared" si="66"/>
        <v>0</v>
      </c>
      <c r="E392" s="150">
        <f t="shared" si="66"/>
        <v>0</v>
      </c>
      <c r="F392" s="71">
        <f t="shared" si="66"/>
        <v>0</v>
      </c>
      <c r="G392" s="71">
        <f t="shared" si="66"/>
        <v>0</v>
      </c>
      <c r="H392" s="71">
        <f t="shared" si="66"/>
        <v>0</v>
      </c>
      <c r="I392" s="71">
        <f t="shared" si="66"/>
        <v>0</v>
      </c>
      <c r="J392" s="71">
        <f t="shared" si="66"/>
        <v>0</v>
      </c>
      <c r="K392" s="71">
        <f t="shared" si="66"/>
        <v>0</v>
      </c>
      <c r="L392" s="68">
        <f t="shared" si="49"/>
        <v>0</v>
      </c>
      <c r="M392" s="72">
        <f t="shared" si="50"/>
        <v>0</v>
      </c>
      <c r="N392" s="78">
        <f t="shared" si="51"/>
        <v>0</v>
      </c>
      <c r="P392" s="166">
        <f t="shared" si="52"/>
        <v>0</v>
      </c>
    </row>
    <row r="393" spans="1:16" ht="15.75" customHeight="1" x14ac:dyDescent="0.25">
      <c r="A393" s="147" t="s">
        <v>32</v>
      </c>
      <c r="B393" s="157">
        <f t="shared" ref="B393:K393" si="67">B362+B331+B300+B269+B238+B207+B176+B145+B114+B83+B52+B21</f>
        <v>229</v>
      </c>
      <c r="C393" s="141">
        <f t="shared" si="67"/>
        <v>28</v>
      </c>
      <c r="D393" s="141">
        <f t="shared" si="67"/>
        <v>6</v>
      </c>
      <c r="E393" s="150">
        <f t="shared" si="67"/>
        <v>6</v>
      </c>
      <c r="F393" s="71">
        <f t="shared" si="67"/>
        <v>2979771.85</v>
      </c>
      <c r="G393" s="71">
        <f t="shared" si="67"/>
        <v>347177.70000000007</v>
      </c>
      <c r="H393" s="71">
        <f t="shared" si="67"/>
        <v>244032.09</v>
      </c>
      <c r="I393" s="71">
        <f t="shared" si="67"/>
        <v>200496</v>
      </c>
      <c r="J393" s="71">
        <f t="shared" si="67"/>
        <v>116059.55</v>
      </c>
      <c r="K393" s="71">
        <f t="shared" si="67"/>
        <v>202315.55000000002</v>
      </c>
      <c r="L393" s="68">
        <f t="shared" si="49"/>
        <v>3339863.4899999998</v>
      </c>
      <c r="M393" s="72">
        <f t="shared" si="50"/>
        <v>749989.25</v>
      </c>
      <c r="N393" s="78">
        <f t="shared" si="51"/>
        <v>-2589874.2399999998</v>
      </c>
      <c r="P393" s="166">
        <f t="shared" si="52"/>
        <v>0</v>
      </c>
    </row>
    <row r="394" spans="1:16" ht="15.75" customHeight="1" x14ac:dyDescent="0.25">
      <c r="A394" s="148" t="s">
        <v>33</v>
      </c>
      <c r="B394" s="157">
        <f t="shared" ref="B394:K394" si="68">B363+B332+B301+B270+B239+B208+B177+B146+B115+B84+B53+B22</f>
        <v>0</v>
      </c>
      <c r="C394" s="141">
        <f t="shared" si="68"/>
        <v>0</v>
      </c>
      <c r="D394" s="141">
        <f t="shared" si="68"/>
        <v>0</v>
      </c>
      <c r="E394" s="150">
        <f t="shared" si="68"/>
        <v>0</v>
      </c>
      <c r="F394" s="71">
        <f t="shared" si="68"/>
        <v>0</v>
      </c>
      <c r="G394" s="71">
        <f t="shared" si="68"/>
        <v>0</v>
      </c>
      <c r="H394" s="71">
        <f t="shared" si="68"/>
        <v>0</v>
      </c>
      <c r="I394" s="71">
        <f t="shared" si="68"/>
        <v>0</v>
      </c>
      <c r="J394" s="71">
        <f t="shared" si="68"/>
        <v>0</v>
      </c>
      <c r="K394" s="71">
        <f t="shared" si="68"/>
        <v>0</v>
      </c>
      <c r="L394" s="68">
        <f t="shared" si="49"/>
        <v>0</v>
      </c>
      <c r="M394" s="72">
        <f t="shared" si="50"/>
        <v>0</v>
      </c>
      <c r="N394" s="78">
        <f t="shared" si="51"/>
        <v>0</v>
      </c>
      <c r="P394" s="166">
        <f t="shared" si="52"/>
        <v>0</v>
      </c>
    </row>
    <row r="395" spans="1:16" ht="15.75" customHeight="1" x14ac:dyDescent="0.25">
      <c r="A395" s="147" t="s">
        <v>34</v>
      </c>
      <c r="B395" s="157">
        <f t="shared" ref="B395:K395" si="69">B364+B333+B302+B271+B240+B209+B178+B147+B116+B85+B54+B23</f>
        <v>0</v>
      </c>
      <c r="C395" s="141">
        <f t="shared" si="69"/>
        <v>0</v>
      </c>
      <c r="D395" s="141">
        <f t="shared" si="69"/>
        <v>0</v>
      </c>
      <c r="E395" s="150">
        <f t="shared" si="69"/>
        <v>0</v>
      </c>
      <c r="F395" s="71">
        <f t="shared" si="69"/>
        <v>0</v>
      </c>
      <c r="G395" s="71">
        <f t="shared" si="69"/>
        <v>0</v>
      </c>
      <c r="H395" s="71">
        <f t="shared" si="69"/>
        <v>0</v>
      </c>
      <c r="I395" s="71">
        <f t="shared" si="69"/>
        <v>0</v>
      </c>
      <c r="J395" s="71">
        <f t="shared" si="69"/>
        <v>0</v>
      </c>
      <c r="K395" s="71">
        <f t="shared" si="69"/>
        <v>0</v>
      </c>
      <c r="L395" s="68">
        <f t="shared" si="49"/>
        <v>0</v>
      </c>
      <c r="M395" s="72">
        <f t="shared" si="50"/>
        <v>0</v>
      </c>
      <c r="N395" s="78">
        <f t="shared" si="51"/>
        <v>0</v>
      </c>
      <c r="P395" s="166">
        <f t="shared" si="52"/>
        <v>0</v>
      </c>
    </row>
    <row r="396" spans="1:16" ht="15.75" customHeight="1" x14ac:dyDescent="0.25">
      <c r="A396" s="147" t="s">
        <v>35</v>
      </c>
      <c r="B396" s="157">
        <f t="shared" ref="B396:K396" si="70">B365+B334+B303+B272+B241+B210+B179+B148+B117+B86+B55+B24</f>
        <v>6</v>
      </c>
      <c r="C396" s="141">
        <f t="shared" si="70"/>
        <v>0</v>
      </c>
      <c r="D396" s="141">
        <f t="shared" si="70"/>
        <v>0</v>
      </c>
      <c r="E396" s="150">
        <f t="shared" si="70"/>
        <v>0</v>
      </c>
      <c r="F396" s="71">
        <f t="shared" si="70"/>
        <v>2474.23</v>
      </c>
      <c r="G396" s="71">
        <f t="shared" si="70"/>
        <v>11396.019999999999</v>
      </c>
      <c r="H396" s="71">
        <f t="shared" si="70"/>
        <v>2823.75</v>
      </c>
      <c r="I396" s="71">
        <f t="shared" si="70"/>
        <v>1224.02</v>
      </c>
      <c r="J396" s="71">
        <f t="shared" si="70"/>
        <v>6565.2199999999993</v>
      </c>
      <c r="K396" s="71">
        <f t="shared" si="70"/>
        <v>4030.59</v>
      </c>
      <c r="L396" s="68">
        <f t="shared" si="49"/>
        <v>11863.199999999999</v>
      </c>
      <c r="M396" s="72">
        <f t="shared" si="50"/>
        <v>16650.63</v>
      </c>
      <c r="N396" s="78">
        <f t="shared" si="51"/>
        <v>4787.4300000000021</v>
      </c>
      <c r="P396" s="166">
        <f t="shared" si="52"/>
        <v>0</v>
      </c>
    </row>
    <row r="397" spans="1:16" ht="15.75" customHeight="1" x14ac:dyDescent="0.25">
      <c r="A397" s="147" t="s">
        <v>36</v>
      </c>
      <c r="B397" s="157">
        <f t="shared" ref="B397:K397" si="71">B366+B335+B304+B273+B242+B211+B180+B149+B118+B87+B56+B25</f>
        <v>26</v>
      </c>
      <c r="C397" s="141">
        <f t="shared" si="71"/>
        <v>1268</v>
      </c>
      <c r="D397" s="141">
        <f t="shared" si="71"/>
        <v>104</v>
      </c>
      <c r="E397" s="150">
        <f t="shared" si="71"/>
        <v>21</v>
      </c>
      <c r="F397" s="71">
        <f t="shared" si="71"/>
        <v>382597.91</v>
      </c>
      <c r="G397" s="71">
        <f t="shared" si="71"/>
        <v>0</v>
      </c>
      <c r="H397" s="71">
        <f t="shared" si="71"/>
        <v>1250479.5</v>
      </c>
      <c r="I397" s="71">
        <f t="shared" si="71"/>
        <v>0</v>
      </c>
      <c r="J397" s="71">
        <f t="shared" si="71"/>
        <v>620670.85000000009</v>
      </c>
      <c r="K397" s="71">
        <f t="shared" si="71"/>
        <v>0</v>
      </c>
      <c r="L397" s="68">
        <f t="shared" si="49"/>
        <v>2253748.2599999998</v>
      </c>
      <c r="M397" s="72">
        <f t="shared" si="50"/>
        <v>4800000</v>
      </c>
      <c r="N397" s="78">
        <f t="shared" si="51"/>
        <v>2546251.7400000002</v>
      </c>
      <c r="P397" s="166">
        <f t="shared" si="52"/>
        <v>4800000</v>
      </c>
    </row>
    <row r="398" spans="1:16" ht="15.75" customHeight="1" x14ac:dyDescent="0.25">
      <c r="A398" s="148" t="s">
        <v>37</v>
      </c>
      <c r="B398" s="157">
        <f t="shared" ref="B398:K398" si="72">B367+B336+B305+B274+B243+B212+B181+B150+B119+B88+B57+B26</f>
        <v>0</v>
      </c>
      <c r="C398" s="141">
        <f t="shared" si="72"/>
        <v>0</v>
      </c>
      <c r="D398" s="141">
        <f t="shared" si="72"/>
        <v>0</v>
      </c>
      <c r="E398" s="150">
        <f t="shared" si="72"/>
        <v>0</v>
      </c>
      <c r="F398" s="71">
        <f t="shared" si="72"/>
        <v>0</v>
      </c>
      <c r="G398" s="71">
        <f t="shared" si="72"/>
        <v>0</v>
      </c>
      <c r="H398" s="71">
        <f t="shared" si="72"/>
        <v>0</v>
      </c>
      <c r="I398" s="71">
        <f t="shared" si="72"/>
        <v>0</v>
      </c>
      <c r="J398" s="71">
        <f t="shared" si="72"/>
        <v>0</v>
      </c>
      <c r="K398" s="71">
        <f t="shared" si="72"/>
        <v>0</v>
      </c>
      <c r="L398" s="68">
        <f t="shared" si="49"/>
        <v>0</v>
      </c>
      <c r="M398" s="72">
        <f t="shared" si="50"/>
        <v>0</v>
      </c>
      <c r="N398" s="78">
        <f t="shared" si="51"/>
        <v>0</v>
      </c>
      <c r="P398" s="166">
        <f t="shared" si="52"/>
        <v>0</v>
      </c>
    </row>
    <row r="399" spans="1:16" ht="15.75" customHeight="1" x14ac:dyDescent="0.25">
      <c r="A399" s="147" t="s">
        <v>38</v>
      </c>
      <c r="B399" s="157">
        <f t="shared" ref="B399:K399" si="73">B368+B337+B306+B275+B244+B213+B182+B151+B120+B89+B58+B27</f>
        <v>104</v>
      </c>
      <c r="C399" s="141">
        <f t="shared" si="73"/>
        <v>3</v>
      </c>
      <c r="D399" s="141">
        <f t="shared" si="73"/>
        <v>28</v>
      </c>
      <c r="E399" s="150">
        <f t="shared" si="73"/>
        <v>0</v>
      </c>
      <c r="F399" s="71">
        <f t="shared" si="73"/>
        <v>31615.22</v>
      </c>
      <c r="G399" s="71">
        <f t="shared" si="73"/>
        <v>189500.61</v>
      </c>
      <c r="H399" s="71">
        <f t="shared" si="73"/>
        <v>150284.43000000002</v>
      </c>
      <c r="I399" s="71">
        <f t="shared" si="73"/>
        <v>84305.9</v>
      </c>
      <c r="J399" s="71">
        <f t="shared" si="73"/>
        <v>63128.56</v>
      </c>
      <c r="K399" s="71">
        <f t="shared" si="73"/>
        <v>19793.740000000002</v>
      </c>
      <c r="L399" s="68">
        <f t="shared" si="49"/>
        <v>245028.21000000002</v>
      </c>
      <c r="M399" s="72">
        <f t="shared" si="50"/>
        <v>26845</v>
      </c>
      <c r="N399" s="78">
        <f t="shared" si="51"/>
        <v>-218183.21000000002</v>
      </c>
      <c r="P399" s="166">
        <f t="shared" si="52"/>
        <v>0</v>
      </c>
    </row>
    <row r="400" spans="1:16" ht="15.75" customHeight="1" x14ac:dyDescent="0.25">
      <c r="A400" s="147" t="s">
        <v>39</v>
      </c>
      <c r="B400" s="157">
        <f t="shared" ref="B400:K400" si="74">B369+B338+B307+B276+B245+B214+B183+B152+B121+B90+B59+B28</f>
        <v>0</v>
      </c>
      <c r="C400" s="141">
        <f t="shared" si="74"/>
        <v>0</v>
      </c>
      <c r="D400" s="141">
        <f t="shared" si="74"/>
        <v>0</v>
      </c>
      <c r="E400" s="150">
        <f t="shared" si="74"/>
        <v>0</v>
      </c>
      <c r="F400" s="71">
        <f t="shared" si="74"/>
        <v>15199.91</v>
      </c>
      <c r="G400" s="71">
        <f t="shared" si="74"/>
        <v>116203.49</v>
      </c>
      <c r="H400" s="71">
        <f t="shared" si="74"/>
        <v>34201</v>
      </c>
      <c r="I400" s="71">
        <f t="shared" si="74"/>
        <v>17886.150000000001</v>
      </c>
      <c r="J400" s="71">
        <f t="shared" si="74"/>
        <v>39403.9</v>
      </c>
      <c r="K400" s="71">
        <f t="shared" si="74"/>
        <v>9972.3100000000013</v>
      </c>
      <c r="L400" s="68">
        <f t="shared" si="49"/>
        <v>88804.81</v>
      </c>
      <c r="M400" s="72">
        <f t="shared" si="50"/>
        <v>144061.95000000001</v>
      </c>
      <c r="N400" s="78">
        <f t="shared" si="51"/>
        <v>55257.140000000014</v>
      </c>
      <c r="P400" s="166">
        <f t="shared" si="52"/>
        <v>0</v>
      </c>
    </row>
    <row r="401" spans="1:16" ht="15.75" customHeight="1" x14ac:dyDescent="0.25">
      <c r="A401" s="147" t="s">
        <v>40</v>
      </c>
      <c r="B401" s="157">
        <f t="shared" ref="B401:K401" si="75">B370+B339+B308+B277+B246+B215+B184+B153+B122+B91+B60+B29</f>
        <v>0</v>
      </c>
      <c r="C401" s="141">
        <f t="shared" si="75"/>
        <v>10274</v>
      </c>
      <c r="D401" s="141">
        <f t="shared" si="75"/>
        <v>797</v>
      </c>
      <c r="E401" s="150">
        <f t="shared" si="75"/>
        <v>1105</v>
      </c>
      <c r="F401" s="71">
        <f t="shared" si="75"/>
        <v>0</v>
      </c>
      <c r="G401" s="71">
        <f t="shared" si="75"/>
        <v>0</v>
      </c>
      <c r="H401" s="71">
        <f t="shared" si="75"/>
        <v>8325329.3099999996</v>
      </c>
      <c r="I401" s="71">
        <f t="shared" si="75"/>
        <v>0</v>
      </c>
      <c r="J401" s="71">
        <f t="shared" si="75"/>
        <v>0</v>
      </c>
      <c r="K401" s="71">
        <f t="shared" si="75"/>
        <v>0</v>
      </c>
      <c r="L401" s="68">
        <f>H401</f>
        <v>8325329.3099999996</v>
      </c>
      <c r="M401" s="72">
        <f t="shared" si="50"/>
        <v>23733284.539999999</v>
      </c>
      <c r="N401" s="78">
        <f t="shared" si="51"/>
        <v>15407955.23</v>
      </c>
      <c r="P401" s="166">
        <f t="shared" si="52"/>
        <v>0</v>
      </c>
    </row>
    <row r="402" spans="1:16" ht="15.75" customHeight="1" x14ac:dyDescent="0.25">
      <c r="A402" s="147" t="s">
        <v>41</v>
      </c>
      <c r="B402" s="157">
        <f t="shared" ref="B402:K402" si="76">B371+B340+B309+B278+B247+B216+B185+B154+B123+B92+B61+B30</f>
        <v>0</v>
      </c>
      <c r="C402" s="141">
        <f t="shared" si="76"/>
        <v>0</v>
      </c>
      <c r="D402" s="141">
        <f t="shared" si="76"/>
        <v>0</v>
      </c>
      <c r="E402" s="150">
        <f t="shared" si="76"/>
        <v>0</v>
      </c>
      <c r="F402" s="71">
        <f t="shared" si="76"/>
        <v>0</v>
      </c>
      <c r="G402" s="71">
        <f t="shared" si="76"/>
        <v>0</v>
      </c>
      <c r="H402" s="71">
        <f t="shared" si="76"/>
        <v>0</v>
      </c>
      <c r="I402" s="71">
        <f t="shared" si="76"/>
        <v>0</v>
      </c>
      <c r="J402" s="71">
        <f t="shared" si="76"/>
        <v>0</v>
      </c>
      <c r="K402" s="71">
        <f t="shared" si="76"/>
        <v>0</v>
      </c>
      <c r="L402" s="68">
        <f>F402+H402+J402</f>
        <v>0</v>
      </c>
      <c r="M402" s="72">
        <f t="shared" si="50"/>
        <v>2195960.94</v>
      </c>
      <c r="N402" s="78">
        <f t="shared" si="51"/>
        <v>2195960.94</v>
      </c>
      <c r="P402" s="166">
        <f t="shared" si="52"/>
        <v>0</v>
      </c>
    </row>
    <row r="403" spans="1:16" ht="16.5" customHeight="1" thickBot="1" x14ac:dyDescent="0.3">
      <c r="A403" s="149" t="s">
        <v>42</v>
      </c>
      <c r="B403" s="158">
        <f t="shared" ref="B403:K403" si="77">B372+B341+B310+B279+B248+B217+B186+B155+B124+B93+B62+B31</f>
        <v>676</v>
      </c>
      <c r="C403" s="159">
        <f t="shared" si="77"/>
        <v>756</v>
      </c>
      <c r="D403" s="159">
        <f t="shared" si="77"/>
        <v>53</v>
      </c>
      <c r="E403" s="160">
        <f t="shared" si="77"/>
        <v>110</v>
      </c>
      <c r="F403" s="71">
        <f t="shared" si="77"/>
        <v>3736116.4800000004</v>
      </c>
      <c r="G403" s="71">
        <f t="shared" si="77"/>
        <v>459397.49000000005</v>
      </c>
      <c r="H403" s="71">
        <f t="shared" si="77"/>
        <v>1437311.94</v>
      </c>
      <c r="I403" s="71">
        <f t="shared" si="77"/>
        <v>1450353.81</v>
      </c>
      <c r="J403" s="71">
        <f t="shared" si="77"/>
        <v>164019.03999999998</v>
      </c>
      <c r="K403" s="71">
        <f t="shared" si="77"/>
        <v>283021.81999999995</v>
      </c>
      <c r="L403" s="74">
        <f>F403+H403+J403</f>
        <v>5337447.46</v>
      </c>
      <c r="M403" s="72">
        <f t="shared" si="50"/>
        <v>2192773.1200000001</v>
      </c>
      <c r="N403" s="80">
        <f t="shared" si="51"/>
        <v>-3144674.34</v>
      </c>
      <c r="P403" s="166">
        <f t="shared" si="52"/>
        <v>0</v>
      </c>
    </row>
    <row r="404" spans="1:16" ht="30" customHeight="1" thickBot="1" x14ac:dyDescent="0.3">
      <c r="A404" s="121" t="s">
        <v>9</v>
      </c>
      <c r="B404" s="153">
        <f t="shared" ref="B404:M404" si="78">SUM(B378:B403)</f>
        <v>3799</v>
      </c>
      <c r="C404" s="153">
        <f t="shared" si="78"/>
        <v>13358</v>
      </c>
      <c r="D404" s="153">
        <f t="shared" si="78"/>
        <v>1163</v>
      </c>
      <c r="E404" s="153">
        <f t="shared" si="78"/>
        <v>1379</v>
      </c>
      <c r="F404" s="85">
        <f t="shared" si="78"/>
        <v>15396811.010000002</v>
      </c>
      <c r="G404" s="85">
        <f t="shared" si="78"/>
        <v>3263669.2100000009</v>
      </c>
      <c r="H404" s="85">
        <f t="shared" si="78"/>
        <v>14490785.399999999</v>
      </c>
      <c r="I404" s="85">
        <f t="shared" si="78"/>
        <v>5152286.6399999997</v>
      </c>
      <c r="J404" s="85">
        <f t="shared" si="78"/>
        <v>2219933.5299999998</v>
      </c>
      <c r="K404" s="85">
        <f t="shared" si="78"/>
        <v>1017301.1200000001</v>
      </c>
      <c r="L404" s="128">
        <f t="shared" si="78"/>
        <v>32107529.939999998</v>
      </c>
      <c r="M404" s="114">
        <f t="shared" si="78"/>
        <v>42452944.309999995</v>
      </c>
      <c r="N404" s="129">
        <f t="shared" si="51"/>
        <v>10345414.369999997</v>
      </c>
    </row>
    <row r="405" spans="1:16" ht="15.75" customHeight="1" thickBot="1" x14ac:dyDescent="0.3"/>
    <row r="406" spans="1:16" x14ac:dyDescent="0.25">
      <c r="A406" s="183" t="s">
        <v>56</v>
      </c>
      <c r="B406" s="184"/>
      <c r="C406" s="184"/>
      <c r="D406" s="184"/>
      <c r="E406" s="184"/>
      <c r="F406" s="184"/>
      <c r="G406" s="184"/>
      <c r="H406" s="185"/>
      <c r="M406" s="70">
        <f>M404-M401</f>
        <v>18719659.769999996</v>
      </c>
    </row>
    <row r="407" spans="1:16" x14ac:dyDescent="0.25">
      <c r="A407" s="31" t="s">
        <v>57</v>
      </c>
      <c r="B407" s="54"/>
      <c r="C407" s="54"/>
      <c r="D407" s="54"/>
      <c r="E407" s="54"/>
      <c r="H407" s="76"/>
      <c r="M407" s="70">
        <f>M370+M339+M308+M277+M246+M215+M184+M153+M122+M91+M60+M29</f>
        <v>23733284.539999999</v>
      </c>
    </row>
    <row r="408" spans="1:16" x14ac:dyDescent="0.25">
      <c r="A408" s="31" t="s">
        <v>58</v>
      </c>
      <c r="B408" s="54"/>
      <c r="C408" s="54"/>
      <c r="D408" s="54"/>
      <c r="E408" s="54"/>
      <c r="H408" s="76"/>
    </row>
    <row r="409" spans="1:16" x14ac:dyDescent="0.25">
      <c r="A409" s="32" t="s">
        <v>59</v>
      </c>
      <c r="B409" s="54"/>
      <c r="C409" s="54"/>
      <c r="D409" s="54"/>
      <c r="E409" s="54"/>
      <c r="H409" s="76"/>
    </row>
    <row r="410" spans="1:16" ht="15.75" customHeight="1" thickBot="1" x14ac:dyDescent="0.3">
      <c r="A410" s="33" t="s">
        <v>60</v>
      </c>
      <c r="B410" s="55"/>
      <c r="C410" s="55"/>
      <c r="D410" s="55"/>
      <c r="E410" s="55"/>
      <c r="F410" s="75"/>
      <c r="G410" s="75"/>
      <c r="H410" s="77"/>
    </row>
    <row r="412" spans="1:16" x14ac:dyDescent="0.25">
      <c r="P412" s="28"/>
    </row>
    <row r="415" spans="1:16" ht="15.75" customHeight="1" thickBot="1" x14ac:dyDescent="0.3">
      <c r="F415" s="70">
        <f>[2]Total!$B$382</f>
        <v>63191.80999999999</v>
      </c>
    </row>
    <row r="416" spans="1:16" ht="30" customHeight="1" thickBot="1" x14ac:dyDescent="0.3">
      <c r="A416" s="172" t="s">
        <v>61</v>
      </c>
      <c r="B416" s="173"/>
      <c r="C416" s="173"/>
      <c r="D416" s="173"/>
      <c r="E416" s="173"/>
      <c r="F416" s="171"/>
      <c r="G416" s="175" t="str">
        <f>"INTERNAÇÕES - "&amp; '[1]intern. diaria convenio'!$O$42</f>
        <v>INTERNAÇÕES - 6440</v>
      </c>
      <c r="H416" s="173"/>
      <c r="I416" s="176"/>
      <c r="J416" s="173"/>
      <c r="K416" s="175" t="str">
        <f>"DIÁRIAS - " &amp; '[1]intern. diaria convenio'!$O$88</f>
        <v>DIÁRIAS - 55786</v>
      </c>
      <c r="L416" s="173"/>
      <c r="M416" s="134"/>
      <c r="N416" s="135"/>
    </row>
    <row r="417" spans="1:14" ht="15" customHeight="1" thickBot="1" x14ac:dyDescent="0.3">
      <c r="A417" s="168" t="s">
        <v>2</v>
      </c>
      <c r="B417" s="174" t="s">
        <v>3</v>
      </c>
      <c r="C417" s="173"/>
      <c r="D417" s="173"/>
      <c r="E417" s="171"/>
      <c r="F417" s="170" t="s">
        <v>4</v>
      </c>
      <c r="G417" s="171"/>
      <c r="H417" s="170" t="s">
        <v>5</v>
      </c>
      <c r="I417" s="171"/>
      <c r="J417" s="170" t="s">
        <v>6</v>
      </c>
      <c r="K417" s="171"/>
      <c r="L417" s="117" t="s">
        <v>7</v>
      </c>
      <c r="M417" s="116" t="s">
        <v>8</v>
      </c>
      <c r="N417" s="118" t="s">
        <v>9</v>
      </c>
    </row>
    <row r="418" spans="1:14" ht="15.75" customHeight="1" thickBot="1" x14ac:dyDescent="0.3">
      <c r="A418" s="169"/>
      <c r="B418" s="122" t="s">
        <v>10</v>
      </c>
      <c r="C418" s="116" t="s">
        <v>11</v>
      </c>
      <c r="D418" s="122" t="s">
        <v>12</v>
      </c>
      <c r="E418" s="116" t="s">
        <v>13</v>
      </c>
      <c r="F418" s="109" t="s">
        <v>14</v>
      </c>
      <c r="G418" s="110" t="s">
        <v>15</v>
      </c>
      <c r="H418" s="109" t="s">
        <v>14</v>
      </c>
      <c r="I418" s="110" t="s">
        <v>15</v>
      </c>
      <c r="J418" s="109" t="s">
        <v>14</v>
      </c>
      <c r="K418" s="110" t="s">
        <v>15</v>
      </c>
      <c r="L418" s="116" t="s">
        <v>14</v>
      </c>
      <c r="M418" s="119" t="s">
        <v>15</v>
      </c>
      <c r="N418" s="120" t="s">
        <v>16</v>
      </c>
    </row>
    <row r="419" spans="1:14" ht="15.75" customHeight="1" x14ac:dyDescent="0.25">
      <c r="A419" s="123" t="s">
        <v>17</v>
      </c>
      <c r="B419" s="130">
        <f t="shared" ref="B419:E444" si="79">SUM(B378)</f>
        <v>7</v>
      </c>
      <c r="C419" s="132">
        <f t="shared" si="79"/>
        <v>290</v>
      </c>
      <c r="D419" s="130">
        <f t="shared" si="79"/>
        <v>4</v>
      </c>
      <c r="E419" s="132">
        <f t="shared" si="79"/>
        <v>11</v>
      </c>
      <c r="F419" s="71">
        <f>F378+[2]Total!B382</f>
        <v>183208.81</v>
      </c>
      <c r="G419" s="71">
        <f>G378+[2]Total!C382</f>
        <v>0</v>
      </c>
      <c r="H419" s="67">
        <f t="shared" ref="H419:I444" si="80">H378</f>
        <v>203709.68</v>
      </c>
      <c r="I419" s="67">
        <f t="shared" si="80"/>
        <v>0</v>
      </c>
      <c r="J419" s="71">
        <f>J378+[2]Total!D382</f>
        <v>1069460.54</v>
      </c>
      <c r="K419" s="71">
        <f>K378+[2]Total!E382</f>
        <v>0</v>
      </c>
      <c r="L419" s="68">
        <f t="shared" ref="L419:L444" si="81">F419+H419+J419</f>
        <v>1456379.03</v>
      </c>
      <c r="M419" s="72">
        <f>SUM(M378+[2]Total!G382)</f>
        <v>2596740.69</v>
      </c>
      <c r="N419" s="115">
        <f t="shared" ref="N419:N445" si="82">M419-L419</f>
        <v>1140361.6599999999</v>
      </c>
    </row>
    <row r="420" spans="1:14" ht="15.75" customHeight="1" x14ac:dyDescent="0.25">
      <c r="A420" s="124" t="s">
        <v>18</v>
      </c>
      <c r="B420" s="130">
        <f t="shared" si="79"/>
        <v>0</v>
      </c>
      <c r="C420" s="132">
        <f t="shared" si="79"/>
        <v>21</v>
      </c>
      <c r="D420" s="130">
        <f t="shared" si="79"/>
        <v>0</v>
      </c>
      <c r="E420" s="132">
        <f t="shared" si="79"/>
        <v>3</v>
      </c>
      <c r="F420" s="71">
        <f>F379+[2]Total!B383</f>
        <v>91706.310000000012</v>
      </c>
      <c r="G420" s="71">
        <f>G379+[2]Total!C383</f>
        <v>0</v>
      </c>
      <c r="H420" s="67">
        <f t="shared" si="80"/>
        <v>20169.88</v>
      </c>
      <c r="I420" s="67">
        <f t="shared" si="80"/>
        <v>0</v>
      </c>
      <c r="J420" s="71">
        <f>J379+[2]Total!D383</f>
        <v>28719.13</v>
      </c>
      <c r="K420" s="71">
        <f>K379+[2]Total!E383</f>
        <v>0</v>
      </c>
      <c r="L420" s="68">
        <f t="shared" si="81"/>
        <v>140595.32</v>
      </c>
      <c r="M420" s="72">
        <f>SUM(M379+[2]Total!G383)</f>
        <v>658433.43000000005</v>
      </c>
      <c r="N420" s="78">
        <f t="shared" si="82"/>
        <v>517838.11000000004</v>
      </c>
    </row>
    <row r="421" spans="1:14" ht="15.75" customHeight="1" x14ac:dyDescent="0.25">
      <c r="A421" s="124" t="s">
        <v>19</v>
      </c>
      <c r="B421" s="130">
        <f t="shared" si="79"/>
        <v>0</v>
      </c>
      <c r="C421" s="132">
        <f t="shared" si="79"/>
        <v>0</v>
      </c>
      <c r="D421" s="130">
        <f t="shared" si="79"/>
        <v>0</v>
      </c>
      <c r="E421" s="132">
        <f t="shared" si="79"/>
        <v>0</v>
      </c>
      <c r="F421" s="71">
        <f>F380+[2]Total!B384</f>
        <v>0</v>
      </c>
      <c r="G421" s="71">
        <f>G380+[2]Total!C384</f>
        <v>0</v>
      </c>
      <c r="H421" s="67">
        <f t="shared" si="80"/>
        <v>0</v>
      </c>
      <c r="I421" s="67">
        <f t="shared" si="80"/>
        <v>0</v>
      </c>
      <c r="J421" s="71">
        <f>J380+[2]Total!D384</f>
        <v>0</v>
      </c>
      <c r="K421" s="71">
        <f>K380+[2]Total!E384</f>
        <v>0</v>
      </c>
      <c r="L421" s="68">
        <f t="shared" si="81"/>
        <v>0</v>
      </c>
      <c r="M421" s="72">
        <f>SUM(M380+[2]Total!G384)</f>
        <v>0</v>
      </c>
      <c r="N421" s="78">
        <f t="shared" si="82"/>
        <v>0</v>
      </c>
    </row>
    <row r="422" spans="1:14" ht="15.75" customHeight="1" x14ac:dyDescent="0.25">
      <c r="A422" s="124" t="s">
        <v>20</v>
      </c>
      <c r="B422" s="130">
        <f t="shared" si="79"/>
        <v>0</v>
      </c>
      <c r="C422" s="132">
        <f t="shared" si="79"/>
        <v>21</v>
      </c>
      <c r="D422" s="130">
        <f t="shared" si="79"/>
        <v>0</v>
      </c>
      <c r="E422" s="132">
        <f t="shared" si="79"/>
        <v>0</v>
      </c>
      <c r="F422" s="71">
        <f>F381+[2]Total!B385</f>
        <v>15171.21</v>
      </c>
      <c r="G422" s="71">
        <f>G381+[2]Total!C385</f>
        <v>70730.94</v>
      </c>
      <c r="H422" s="67">
        <f t="shared" si="80"/>
        <v>19563.25</v>
      </c>
      <c r="I422" s="67">
        <f t="shared" si="80"/>
        <v>19680</v>
      </c>
      <c r="J422" s="71">
        <f>J381+[2]Total!D385</f>
        <v>107705.09</v>
      </c>
      <c r="K422" s="71">
        <f>K381+[2]Total!E385</f>
        <v>152404.02000000002</v>
      </c>
      <c r="L422" s="68">
        <f t="shared" si="81"/>
        <v>142439.54999999999</v>
      </c>
      <c r="M422" s="72">
        <f>SUM(M381+[2]Total!G385)</f>
        <v>557511.33000000007</v>
      </c>
      <c r="N422" s="78">
        <f t="shared" si="82"/>
        <v>415071.78000000009</v>
      </c>
    </row>
    <row r="423" spans="1:14" ht="15.75" customHeight="1" x14ac:dyDescent="0.25">
      <c r="A423" s="124" t="s">
        <v>21</v>
      </c>
      <c r="B423" s="130">
        <f t="shared" si="79"/>
        <v>53</v>
      </c>
      <c r="C423" s="132">
        <f t="shared" si="79"/>
        <v>2</v>
      </c>
      <c r="D423" s="130">
        <f t="shared" si="79"/>
        <v>0</v>
      </c>
      <c r="E423" s="132">
        <f t="shared" si="79"/>
        <v>7</v>
      </c>
      <c r="F423" s="71">
        <f>F382+[2]Total!B386</f>
        <v>17854.099999999999</v>
      </c>
      <c r="G423" s="71">
        <f>G382+[2]Total!C386</f>
        <v>88052.189999999988</v>
      </c>
      <c r="H423" s="67">
        <f t="shared" si="80"/>
        <v>32419.100000000002</v>
      </c>
      <c r="I423" s="67">
        <f t="shared" si="80"/>
        <v>28611.790000000005</v>
      </c>
      <c r="J423" s="71">
        <f>J382+[2]Total!D386</f>
        <v>35864.25</v>
      </c>
      <c r="K423" s="71">
        <f>K382+[2]Total!E386</f>
        <v>18356.560000000001</v>
      </c>
      <c r="L423" s="68">
        <f t="shared" si="81"/>
        <v>86137.45</v>
      </c>
      <c r="M423" s="72">
        <f>SUM(M382+[2]Total!G386)</f>
        <v>135020.54</v>
      </c>
      <c r="N423" s="78">
        <f t="shared" si="82"/>
        <v>48883.090000000011</v>
      </c>
    </row>
    <row r="424" spans="1:14" ht="15.75" customHeight="1" x14ac:dyDescent="0.25">
      <c r="A424" s="124" t="s">
        <v>22</v>
      </c>
      <c r="B424" s="130">
        <f t="shared" si="79"/>
        <v>33</v>
      </c>
      <c r="C424" s="132">
        <f t="shared" si="79"/>
        <v>0</v>
      </c>
      <c r="D424" s="130">
        <f t="shared" si="79"/>
        <v>4</v>
      </c>
      <c r="E424" s="132">
        <f t="shared" si="79"/>
        <v>3</v>
      </c>
      <c r="F424" s="71">
        <f>F383+[2]Total!B387</f>
        <v>9370.0999999999985</v>
      </c>
      <c r="G424" s="71">
        <f>G383+[2]Total!C387</f>
        <v>35047.760000000002</v>
      </c>
      <c r="H424" s="67">
        <f t="shared" si="80"/>
        <v>6293.45</v>
      </c>
      <c r="I424" s="67">
        <f t="shared" si="80"/>
        <v>4368.3</v>
      </c>
      <c r="J424" s="71">
        <f>J383+[2]Total!D387</f>
        <v>11313.93</v>
      </c>
      <c r="K424" s="71">
        <f>K383+[2]Total!E387</f>
        <v>6178.99</v>
      </c>
      <c r="L424" s="68">
        <f t="shared" si="81"/>
        <v>26977.48</v>
      </c>
      <c r="M424" s="72">
        <f>SUM(M383+[2]Total!G387)</f>
        <v>45595.05</v>
      </c>
      <c r="N424" s="78">
        <f t="shared" si="82"/>
        <v>18617.570000000003</v>
      </c>
    </row>
    <row r="425" spans="1:14" ht="15.75" customHeight="1" x14ac:dyDescent="0.25">
      <c r="A425" s="125" t="s">
        <v>23</v>
      </c>
      <c r="B425" s="130">
        <f t="shared" si="79"/>
        <v>0</v>
      </c>
      <c r="C425" s="132">
        <f t="shared" si="79"/>
        <v>0</v>
      </c>
      <c r="D425" s="130">
        <f t="shared" si="79"/>
        <v>0</v>
      </c>
      <c r="E425" s="132">
        <f t="shared" si="79"/>
        <v>0</v>
      </c>
      <c r="F425" s="71">
        <f>F384+[2]Total!B388</f>
        <v>0</v>
      </c>
      <c r="G425" s="71">
        <f>G384+[2]Total!C388</f>
        <v>0</v>
      </c>
      <c r="H425" s="67">
        <f t="shared" si="80"/>
        <v>0</v>
      </c>
      <c r="I425" s="67">
        <f t="shared" si="80"/>
        <v>0</v>
      </c>
      <c r="J425" s="71">
        <f>J384+[2]Total!D388</f>
        <v>0</v>
      </c>
      <c r="K425" s="71">
        <f>K384+[2]Total!E388</f>
        <v>0</v>
      </c>
      <c r="L425" s="68">
        <f t="shared" si="81"/>
        <v>0</v>
      </c>
      <c r="M425" s="72">
        <f>SUM(M384+[2]Total!G388)</f>
        <v>0</v>
      </c>
      <c r="N425" s="78">
        <f t="shared" si="82"/>
        <v>0</v>
      </c>
    </row>
    <row r="426" spans="1:14" ht="15.75" customHeight="1" x14ac:dyDescent="0.25">
      <c r="A426" s="124" t="s">
        <v>24</v>
      </c>
      <c r="B426" s="130">
        <f t="shared" si="79"/>
        <v>222</v>
      </c>
      <c r="C426" s="132">
        <f t="shared" si="79"/>
        <v>0</v>
      </c>
      <c r="D426" s="130">
        <f t="shared" si="79"/>
        <v>4</v>
      </c>
      <c r="E426" s="132">
        <f t="shared" si="79"/>
        <v>2</v>
      </c>
      <c r="F426" s="71">
        <f>F385+[2]Total!B389</f>
        <v>1517322.2399999998</v>
      </c>
      <c r="G426" s="71">
        <f>G385+[2]Total!C389</f>
        <v>3412768.0500000003</v>
      </c>
      <c r="H426" s="67">
        <f t="shared" si="80"/>
        <v>351885.75</v>
      </c>
      <c r="I426" s="67">
        <f t="shared" si="80"/>
        <v>149835.04</v>
      </c>
      <c r="J426" s="71">
        <f>J385+[2]Total!D389</f>
        <v>299885.84000000003</v>
      </c>
      <c r="K426" s="71">
        <f>K385+[2]Total!E389</f>
        <v>128321.21</v>
      </c>
      <c r="L426" s="68">
        <f t="shared" si="81"/>
        <v>2169093.8299999996</v>
      </c>
      <c r="M426" s="72">
        <f>SUM(M385+[2]Total!G389)</f>
        <v>3690924.3</v>
      </c>
      <c r="N426" s="78">
        <f t="shared" si="82"/>
        <v>1521830.4700000002</v>
      </c>
    </row>
    <row r="427" spans="1:14" ht="15.75" customHeight="1" x14ac:dyDescent="0.25">
      <c r="A427" s="124" t="s">
        <v>25</v>
      </c>
      <c r="B427" s="130">
        <f t="shared" si="79"/>
        <v>0</v>
      </c>
      <c r="C427" s="132">
        <f t="shared" si="79"/>
        <v>63</v>
      </c>
      <c r="D427" s="130">
        <f t="shared" si="79"/>
        <v>0</v>
      </c>
      <c r="E427" s="132">
        <f t="shared" si="79"/>
        <v>4</v>
      </c>
      <c r="F427" s="71">
        <f>F386+[2]Total!B390</f>
        <v>51796.62000000001</v>
      </c>
      <c r="G427" s="71">
        <f>G386+[2]Total!C390</f>
        <v>217726.22000000006</v>
      </c>
      <c r="H427" s="67">
        <f t="shared" si="80"/>
        <v>60188.160000000003</v>
      </c>
      <c r="I427" s="67">
        <f t="shared" si="80"/>
        <v>42976.72</v>
      </c>
      <c r="J427" s="71">
        <f>J386+[2]Total!D390</f>
        <v>99527.33</v>
      </c>
      <c r="K427" s="71">
        <f>K386+[2]Total!E390</f>
        <v>55801.259999999995</v>
      </c>
      <c r="L427" s="68">
        <f t="shared" si="81"/>
        <v>211512.11000000002</v>
      </c>
      <c r="M427" s="72">
        <f>SUM(M386+[2]Total!G390)</f>
        <v>316504.20000000007</v>
      </c>
      <c r="N427" s="78">
        <f t="shared" si="82"/>
        <v>104992.09000000005</v>
      </c>
    </row>
    <row r="428" spans="1:14" ht="15.75" customHeight="1" x14ac:dyDescent="0.25">
      <c r="A428" s="124" t="s">
        <v>26</v>
      </c>
      <c r="B428" s="130">
        <f t="shared" si="79"/>
        <v>0</v>
      </c>
      <c r="C428" s="132">
        <f t="shared" si="79"/>
        <v>0</v>
      </c>
      <c r="D428" s="130">
        <f t="shared" si="79"/>
        <v>0</v>
      </c>
      <c r="E428" s="132">
        <f t="shared" si="79"/>
        <v>0</v>
      </c>
      <c r="F428" s="71">
        <f>F387+[2]Total!B391</f>
        <v>328.95</v>
      </c>
      <c r="G428" s="71">
        <f>G387+[2]Total!C391</f>
        <v>2391.5700000000002</v>
      </c>
      <c r="H428" s="67">
        <f t="shared" si="80"/>
        <v>558.95000000000005</v>
      </c>
      <c r="I428" s="67">
        <f t="shared" si="80"/>
        <v>189</v>
      </c>
      <c r="J428" s="71">
        <f>J387+[2]Total!D391</f>
        <v>944.45</v>
      </c>
      <c r="K428" s="71">
        <f>K387+[2]Total!E391</f>
        <v>811.96</v>
      </c>
      <c r="L428" s="68">
        <f t="shared" si="81"/>
        <v>1832.3500000000001</v>
      </c>
      <c r="M428" s="72">
        <f>SUM(M387+[2]Total!G391)</f>
        <v>3392.53</v>
      </c>
      <c r="N428" s="78">
        <f t="shared" si="82"/>
        <v>1560.18</v>
      </c>
    </row>
    <row r="429" spans="1:14" ht="15.75" customHeight="1" x14ac:dyDescent="0.25">
      <c r="A429" s="124" t="s">
        <v>27</v>
      </c>
      <c r="B429" s="130">
        <f t="shared" si="79"/>
        <v>85</v>
      </c>
      <c r="C429" s="132">
        <f t="shared" si="79"/>
        <v>3</v>
      </c>
      <c r="D429" s="130">
        <f t="shared" si="79"/>
        <v>3</v>
      </c>
      <c r="E429" s="132">
        <f t="shared" si="79"/>
        <v>0</v>
      </c>
      <c r="F429" s="71">
        <f>F388+[2]Total!B392</f>
        <v>1905920.15</v>
      </c>
      <c r="G429" s="71">
        <f>G388+[2]Total!C392</f>
        <v>289078.78000000003</v>
      </c>
      <c r="H429" s="67">
        <f t="shared" si="80"/>
        <v>111059.25</v>
      </c>
      <c r="I429" s="67">
        <f t="shared" si="80"/>
        <v>67284.280000000013</v>
      </c>
      <c r="J429" s="71">
        <f>J388+[2]Total!D392</f>
        <v>72665.94</v>
      </c>
      <c r="K429" s="71">
        <f>K388+[2]Total!E392</f>
        <v>22972.79</v>
      </c>
      <c r="L429" s="68">
        <f t="shared" si="81"/>
        <v>2089645.3399999999</v>
      </c>
      <c r="M429" s="72">
        <f>SUM(M388+[2]Total!G392)</f>
        <v>379335.85000000003</v>
      </c>
      <c r="N429" s="78">
        <f t="shared" si="82"/>
        <v>-1710309.4899999998</v>
      </c>
    </row>
    <row r="430" spans="1:14" ht="15.75" customHeight="1" x14ac:dyDescent="0.25">
      <c r="A430" s="124" t="s">
        <v>28</v>
      </c>
      <c r="B430" s="130">
        <f t="shared" si="79"/>
        <v>0</v>
      </c>
      <c r="C430" s="132">
        <f t="shared" si="79"/>
        <v>2</v>
      </c>
      <c r="D430" s="130">
        <f t="shared" si="79"/>
        <v>0</v>
      </c>
      <c r="E430" s="132">
        <f t="shared" si="79"/>
        <v>0</v>
      </c>
      <c r="F430" s="71">
        <f>F389+[2]Total!B393</f>
        <v>40860.6</v>
      </c>
      <c r="G430" s="71">
        <f>G389+[2]Total!C393</f>
        <v>16529.07</v>
      </c>
      <c r="H430" s="67">
        <f t="shared" si="80"/>
        <v>558.95000000000005</v>
      </c>
      <c r="I430" s="67">
        <f t="shared" si="80"/>
        <v>291</v>
      </c>
      <c r="J430" s="71">
        <f>J389+[2]Total!D393</f>
        <v>2326.98</v>
      </c>
      <c r="K430" s="71">
        <f>K389+[2]Total!E393</f>
        <v>1307.77</v>
      </c>
      <c r="L430" s="68">
        <f t="shared" si="81"/>
        <v>43746.53</v>
      </c>
      <c r="M430" s="72">
        <f>SUM(M389+[2]Total!G393)</f>
        <v>18127.84</v>
      </c>
      <c r="N430" s="78">
        <f t="shared" si="82"/>
        <v>-25618.69</v>
      </c>
    </row>
    <row r="431" spans="1:14" ht="15.75" customHeight="1" x14ac:dyDescent="0.25">
      <c r="A431" s="124" t="s">
        <v>29</v>
      </c>
      <c r="B431" s="130">
        <f t="shared" si="79"/>
        <v>2358</v>
      </c>
      <c r="C431" s="132">
        <f t="shared" si="79"/>
        <v>627</v>
      </c>
      <c r="D431" s="130">
        <f t="shared" si="79"/>
        <v>160</v>
      </c>
      <c r="E431" s="132">
        <f t="shared" si="79"/>
        <v>107</v>
      </c>
      <c r="F431" s="71">
        <f>F390+[2]Total!B394</f>
        <v>6842148.0100000007</v>
      </c>
      <c r="G431" s="71">
        <f>G390+[2]Total!C394</f>
        <v>1652846.31</v>
      </c>
      <c r="H431" s="67">
        <f t="shared" si="80"/>
        <v>2239916.96</v>
      </c>
      <c r="I431" s="67">
        <f t="shared" si="80"/>
        <v>3084784.63</v>
      </c>
      <c r="J431" s="71">
        <f>J390+[2]Total!D394</f>
        <v>380522.04</v>
      </c>
      <c r="K431" s="71">
        <f>K390+[2]Total!E394</f>
        <v>971636.78</v>
      </c>
      <c r="L431" s="68">
        <f t="shared" si="81"/>
        <v>9462587.0099999998</v>
      </c>
      <c r="M431" s="72">
        <f>SUM(M390+[2]Total!G394)</f>
        <v>5709267.7200000007</v>
      </c>
      <c r="N431" s="78">
        <f t="shared" si="82"/>
        <v>-3753319.2899999991</v>
      </c>
    </row>
    <row r="432" spans="1:14" ht="15.75" customHeight="1" x14ac:dyDescent="0.25">
      <c r="A432" s="124" t="s">
        <v>30</v>
      </c>
      <c r="B432" s="130">
        <f t="shared" si="79"/>
        <v>0</v>
      </c>
      <c r="C432" s="132">
        <f t="shared" si="79"/>
        <v>0</v>
      </c>
      <c r="D432" s="130">
        <f t="shared" si="79"/>
        <v>0</v>
      </c>
      <c r="E432" s="132">
        <f t="shared" si="79"/>
        <v>0</v>
      </c>
      <c r="F432" s="71">
        <f>F391+[2]Total!B395</f>
        <v>0</v>
      </c>
      <c r="G432" s="71">
        <f>G391+[2]Total!C395</f>
        <v>0</v>
      </c>
      <c r="H432" s="67">
        <f t="shared" si="80"/>
        <v>0</v>
      </c>
      <c r="I432" s="67">
        <f t="shared" si="80"/>
        <v>0</v>
      </c>
      <c r="J432" s="71">
        <f>J391+[2]Total!D395</f>
        <v>0</v>
      </c>
      <c r="K432" s="71">
        <f>K391+[2]Total!E395</f>
        <v>0</v>
      </c>
      <c r="L432" s="68">
        <f t="shared" si="81"/>
        <v>0</v>
      </c>
      <c r="M432" s="72">
        <f>SUM(M391+[2]Total!G395)</f>
        <v>0</v>
      </c>
      <c r="N432" s="78">
        <f t="shared" si="82"/>
        <v>0</v>
      </c>
    </row>
    <row r="433" spans="1:14" ht="15.75" customHeight="1" x14ac:dyDescent="0.25">
      <c r="A433" s="124" t="s">
        <v>31</v>
      </c>
      <c r="B433" s="130">
        <f t="shared" si="79"/>
        <v>0</v>
      </c>
      <c r="C433" s="132">
        <f t="shared" si="79"/>
        <v>0</v>
      </c>
      <c r="D433" s="130">
        <f t="shared" si="79"/>
        <v>0</v>
      </c>
      <c r="E433" s="132">
        <f t="shared" si="79"/>
        <v>0</v>
      </c>
      <c r="F433" s="71">
        <f>F392+[2]Total!B396</f>
        <v>0</v>
      </c>
      <c r="G433" s="71">
        <f>G392+[2]Total!C396</f>
        <v>0</v>
      </c>
      <c r="H433" s="71">
        <f t="shared" si="80"/>
        <v>0</v>
      </c>
      <c r="I433" s="71">
        <f t="shared" si="80"/>
        <v>0</v>
      </c>
      <c r="J433" s="71">
        <f>J392+[2]Total!D396</f>
        <v>0</v>
      </c>
      <c r="K433" s="71">
        <f>K392+[2]Total!E396</f>
        <v>0</v>
      </c>
      <c r="L433" s="68">
        <f t="shared" si="81"/>
        <v>0</v>
      </c>
      <c r="M433" s="72">
        <f>SUM(M392+[2]Total!G396)</f>
        <v>0</v>
      </c>
      <c r="N433" s="78">
        <f t="shared" si="82"/>
        <v>0</v>
      </c>
    </row>
    <row r="434" spans="1:14" ht="15.75" customHeight="1" x14ac:dyDescent="0.25">
      <c r="A434" s="124" t="s">
        <v>32</v>
      </c>
      <c r="B434" s="130">
        <f t="shared" si="79"/>
        <v>229</v>
      </c>
      <c r="C434" s="132">
        <f t="shared" si="79"/>
        <v>28</v>
      </c>
      <c r="D434" s="130">
        <f t="shared" si="79"/>
        <v>6</v>
      </c>
      <c r="E434" s="132">
        <f t="shared" si="79"/>
        <v>6</v>
      </c>
      <c r="F434" s="71">
        <f>F393+[2]Total!B397</f>
        <v>2993703.17</v>
      </c>
      <c r="G434" s="71">
        <f>G393+[2]Total!C397</f>
        <v>465323.28000000009</v>
      </c>
      <c r="H434" s="67">
        <f t="shared" si="80"/>
        <v>244032.09</v>
      </c>
      <c r="I434" s="67">
        <f t="shared" si="80"/>
        <v>200496</v>
      </c>
      <c r="J434" s="71">
        <f>J393+[2]Total!D397</f>
        <v>324843.90000000002</v>
      </c>
      <c r="K434" s="71">
        <f>K393+[2]Total!E397</f>
        <v>819924.15000000014</v>
      </c>
      <c r="L434" s="68">
        <f t="shared" si="81"/>
        <v>3562579.1599999997</v>
      </c>
      <c r="M434" s="72">
        <f>SUM(M393+[2]Total!G397)</f>
        <v>1485743.4300000002</v>
      </c>
      <c r="N434" s="78">
        <f t="shared" si="82"/>
        <v>-2076835.7299999995</v>
      </c>
    </row>
    <row r="435" spans="1:14" ht="15.75" customHeight="1" x14ac:dyDescent="0.25">
      <c r="A435" s="125" t="s">
        <v>33</v>
      </c>
      <c r="B435" s="130">
        <f t="shared" si="79"/>
        <v>0</v>
      </c>
      <c r="C435" s="132">
        <f t="shared" si="79"/>
        <v>0</v>
      </c>
      <c r="D435" s="130">
        <f t="shared" si="79"/>
        <v>0</v>
      </c>
      <c r="E435" s="132">
        <f t="shared" si="79"/>
        <v>0</v>
      </c>
      <c r="F435" s="71">
        <f>F394+[2]Total!B398</f>
        <v>0</v>
      </c>
      <c r="G435" s="71">
        <f>G394+[2]Total!C398</f>
        <v>0</v>
      </c>
      <c r="H435" s="67">
        <f t="shared" si="80"/>
        <v>0</v>
      </c>
      <c r="I435" s="67">
        <f t="shared" si="80"/>
        <v>0</v>
      </c>
      <c r="J435" s="71">
        <f>J394+[2]Total!D398</f>
        <v>0</v>
      </c>
      <c r="K435" s="71">
        <f>K394+[2]Total!E398</f>
        <v>0</v>
      </c>
      <c r="L435" s="68">
        <f t="shared" si="81"/>
        <v>0</v>
      </c>
      <c r="M435" s="72">
        <f>SUM(M394+[2]Total!G398)</f>
        <v>0</v>
      </c>
      <c r="N435" s="78">
        <f t="shared" si="82"/>
        <v>0</v>
      </c>
    </row>
    <row r="436" spans="1:14" ht="15.75" customHeight="1" x14ac:dyDescent="0.25">
      <c r="A436" s="124" t="s">
        <v>34</v>
      </c>
      <c r="B436" s="130">
        <f t="shared" si="79"/>
        <v>0</v>
      </c>
      <c r="C436" s="132">
        <f t="shared" si="79"/>
        <v>0</v>
      </c>
      <c r="D436" s="130">
        <f t="shared" si="79"/>
        <v>0</v>
      </c>
      <c r="E436" s="132">
        <f t="shared" si="79"/>
        <v>0</v>
      </c>
      <c r="F436" s="71">
        <f>F395+[2]Total!B399</f>
        <v>0</v>
      </c>
      <c r="G436" s="71">
        <f>G395+[2]Total!C399</f>
        <v>0</v>
      </c>
      <c r="H436" s="67">
        <f t="shared" si="80"/>
        <v>0</v>
      </c>
      <c r="I436" s="67">
        <f t="shared" si="80"/>
        <v>0</v>
      </c>
      <c r="J436" s="71">
        <f>J395+[2]Total!D399</f>
        <v>0</v>
      </c>
      <c r="K436" s="71">
        <f>K395+[2]Total!E399</f>
        <v>0</v>
      </c>
      <c r="L436" s="68">
        <f t="shared" si="81"/>
        <v>0</v>
      </c>
      <c r="M436" s="72">
        <f>SUM(M395+[2]Total!G399)</f>
        <v>0</v>
      </c>
      <c r="N436" s="78">
        <f t="shared" si="82"/>
        <v>0</v>
      </c>
    </row>
    <row r="437" spans="1:14" ht="15.75" customHeight="1" x14ac:dyDescent="0.25">
      <c r="A437" s="124" t="s">
        <v>35</v>
      </c>
      <c r="B437" s="130">
        <f t="shared" si="79"/>
        <v>6</v>
      </c>
      <c r="C437" s="132">
        <f t="shared" si="79"/>
        <v>0</v>
      </c>
      <c r="D437" s="130">
        <f t="shared" si="79"/>
        <v>0</v>
      </c>
      <c r="E437" s="132">
        <f t="shared" si="79"/>
        <v>0</v>
      </c>
      <c r="F437" s="71">
        <f>F396+[2]Total!B400</f>
        <v>2503.79</v>
      </c>
      <c r="G437" s="71">
        <f>G396+[2]Total!C400</f>
        <v>11758.22</v>
      </c>
      <c r="H437" s="67">
        <f t="shared" si="80"/>
        <v>2823.75</v>
      </c>
      <c r="I437" s="67">
        <f t="shared" si="80"/>
        <v>1224.02</v>
      </c>
      <c r="J437" s="71">
        <f>J396+[2]Total!D400</f>
        <v>7059.829999999999</v>
      </c>
      <c r="K437" s="71">
        <f>K396+[2]Total!E400</f>
        <v>4397.05</v>
      </c>
      <c r="L437" s="68">
        <f t="shared" si="81"/>
        <v>12387.369999999999</v>
      </c>
      <c r="M437" s="72">
        <f>SUM(M396+[2]Total!G400)</f>
        <v>17379.29</v>
      </c>
      <c r="N437" s="78">
        <f t="shared" si="82"/>
        <v>4991.9200000000019</v>
      </c>
    </row>
    <row r="438" spans="1:14" ht="15.75" customHeight="1" x14ac:dyDescent="0.25">
      <c r="A438" s="124" t="s">
        <v>36</v>
      </c>
      <c r="B438" s="130">
        <f t="shared" si="79"/>
        <v>26</v>
      </c>
      <c r="C438" s="132">
        <f t="shared" si="79"/>
        <v>1268</v>
      </c>
      <c r="D438" s="130">
        <f t="shared" si="79"/>
        <v>104</v>
      </c>
      <c r="E438" s="132">
        <f t="shared" si="79"/>
        <v>21</v>
      </c>
      <c r="F438" s="71">
        <f>F397+[2]Total!B401</f>
        <v>1001809.0360999999</v>
      </c>
      <c r="G438" s="71">
        <f>G397+[2]Total!C401</f>
        <v>0</v>
      </c>
      <c r="H438" s="67">
        <f t="shared" si="80"/>
        <v>1250479.5</v>
      </c>
      <c r="I438" s="67">
        <f t="shared" si="80"/>
        <v>0</v>
      </c>
      <c r="J438" s="71">
        <f>J397+[2]Total!D401</f>
        <v>961700.85000000009</v>
      </c>
      <c r="K438" s="71">
        <f>K397+[2]Total!E401</f>
        <v>0</v>
      </c>
      <c r="L438" s="68">
        <f t="shared" si="81"/>
        <v>3213989.3861000002</v>
      </c>
      <c r="M438" s="72">
        <f>SUM(M397+[2]Total!G401)</f>
        <v>5889272.6200000001</v>
      </c>
      <c r="N438" s="78">
        <f t="shared" si="82"/>
        <v>2675283.2338999999</v>
      </c>
    </row>
    <row r="439" spans="1:14" ht="15.75" customHeight="1" x14ac:dyDescent="0.25">
      <c r="A439" s="125" t="s">
        <v>37</v>
      </c>
      <c r="B439" s="130">
        <f t="shared" si="79"/>
        <v>0</v>
      </c>
      <c r="C439" s="132">
        <f t="shared" si="79"/>
        <v>0</v>
      </c>
      <c r="D439" s="130">
        <f t="shared" si="79"/>
        <v>0</v>
      </c>
      <c r="E439" s="132">
        <f t="shared" si="79"/>
        <v>0</v>
      </c>
      <c r="F439" s="71">
        <f>F398+[2]Total!B402</f>
        <v>0</v>
      </c>
      <c r="G439" s="71">
        <f>G398+[2]Total!C402</f>
        <v>0</v>
      </c>
      <c r="H439" s="67">
        <f t="shared" si="80"/>
        <v>0</v>
      </c>
      <c r="I439" s="67">
        <f t="shared" si="80"/>
        <v>0</v>
      </c>
      <c r="J439" s="71">
        <f>J398+[2]Total!D402</f>
        <v>0</v>
      </c>
      <c r="K439" s="71">
        <f>K398+[2]Total!E402</f>
        <v>0</v>
      </c>
      <c r="L439" s="68">
        <f t="shared" si="81"/>
        <v>0</v>
      </c>
      <c r="M439" s="72">
        <f>SUM(M398+[2]Total!G402)</f>
        <v>0</v>
      </c>
      <c r="N439" s="78">
        <f t="shared" si="82"/>
        <v>0</v>
      </c>
    </row>
    <row r="440" spans="1:14" ht="15.75" customHeight="1" x14ac:dyDescent="0.25">
      <c r="A440" s="124" t="s">
        <v>38</v>
      </c>
      <c r="B440" s="130">
        <f t="shared" si="79"/>
        <v>104</v>
      </c>
      <c r="C440" s="132">
        <f t="shared" si="79"/>
        <v>3</v>
      </c>
      <c r="D440" s="130">
        <f t="shared" si="79"/>
        <v>28</v>
      </c>
      <c r="E440" s="132">
        <f t="shared" si="79"/>
        <v>0</v>
      </c>
      <c r="F440" s="71">
        <f>F399+[2]Total!B403</f>
        <v>32014.800000000003</v>
      </c>
      <c r="G440" s="71">
        <f>G399+[2]Total!C403</f>
        <v>190474.15</v>
      </c>
      <c r="H440" s="71">
        <f t="shared" si="80"/>
        <v>150284.43000000002</v>
      </c>
      <c r="I440" s="67">
        <f t="shared" si="80"/>
        <v>84305.9</v>
      </c>
      <c r="J440" s="71">
        <f>J399+[2]Total!D403</f>
        <v>71082.78</v>
      </c>
      <c r="K440" s="71">
        <f>K399+[2]Total!E403</f>
        <v>20897.010000000002</v>
      </c>
      <c r="L440" s="68">
        <f t="shared" si="81"/>
        <v>253382.01000000004</v>
      </c>
      <c r="M440" s="72">
        <f>SUM(M399+[2]Total!G403)</f>
        <v>29630.28</v>
      </c>
      <c r="N440" s="78">
        <f t="shared" si="82"/>
        <v>-223751.73000000004</v>
      </c>
    </row>
    <row r="441" spans="1:14" ht="15.75" customHeight="1" x14ac:dyDescent="0.25">
      <c r="A441" s="124" t="s">
        <v>39</v>
      </c>
      <c r="B441" s="130">
        <f t="shared" si="79"/>
        <v>0</v>
      </c>
      <c r="C441" s="132">
        <f t="shared" si="79"/>
        <v>0</v>
      </c>
      <c r="D441" s="130">
        <f t="shared" si="79"/>
        <v>0</v>
      </c>
      <c r="E441" s="132">
        <f t="shared" si="79"/>
        <v>0</v>
      </c>
      <c r="F441" s="71">
        <f>F400+[2]Total!B404</f>
        <v>15199.91</v>
      </c>
      <c r="G441" s="71">
        <f>G400+[2]Total!C404</f>
        <v>116203.49</v>
      </c>
      <c r="H441" s="67">
        <f t="shared" si="80"/>
        <v>34201</v>
      </c>
      <c r="I441" s="67">
        <f t="shared" si="80"/>
        <v>17886.150000000001</v>
      </c>
      <c r="J441" s="71">
        <f>J400+[2]Total!D404</f>
        <v>39403.9</v>
      </c>
      <c r="K441" s="71">
        <f>K400+[2]Total!E404</f>
        <v>9972.3100000000013</v>
      </c>
      <c r="L441" s="68">
        <f t="shared" si="81"/>
        <v>88804.81</v>
      </c>
      <c r="M441" s="72">
        <f>SUM(M400+[2]Total!G404)</f>
        <v>144061.95000000001</v>
      </c>
      <c r="N441" s="78">
        <f t="shared" si="82"/>
        <v>55257.140000000014</v>
      </c>
    </row>
    <row r="442" spans="1:14" ht="15.75" customHeight="1" x14ac:dyDescent="0.25">
      <c r="A442" s="124" t="s">
        <v>40</v>
      </c>
      <c r="B442" s="130">
        <f t="shared" si="79"/>
        <v>0</v>
      </c>
      <c r="C442" s="132">
        <f t="shared" si="79"/>
        <v>10274</v>
      </c>
      <c r="D442" s="130">
        <f t="shared" si="79"/>
        <v>797</v>
      </c>
      <c r="E442" s="132">
        <f t="shared" si="79"/>
        <v>1105</v>
      </c>
      <c r="F442" s="71">
        <f>F401+[2]Total!B405</f>
        <v>19784.459999999995</v>
      </c>
      <c r="G442" s="71">
        <f>G401+[2]Total!C405</f>
        <v>0</v>
      </c>
      <c r="H442" s="67">
        <f t="shared" si="80"/>
        <v>8325329.3099999996</v>
      </c>
      <c r="I442" s="67">
        <f t="shared" si="80"/>
        <v>0</v>
      </c>
      <c r="J442" s="71">
        <f>J401+[2]Total!D405</f>
        <v>746057.13000000012</v>
      </c>
      <c r="K442" s="71">
        <f>K401+[2]Total!E405</f>
        <v>0</v>
      </c>
      <c r="L442" s="68">
        <f t="shared" si="81"/>
        <v>9091170.9000000004</v>
      </c>
      <c r="M442" s="72">
        <f>SUM(M401+[2]Total!G405)</f>
        <v>25468517.539999999</v>
      </c>
      <c r="N442" s="78">
        <f t="shared" si="82"/>
        <v>16377346.639999999</v>
      </c>
    </row>
    <row r="443" spans="1:14" ht="15.75" customHeight="1" x14ac:dyDescent="0.25">
      <c r="A443" s="124" t="s">
        <v>41</v>
      </c>
      <c r="B443" s="130">
        <f t="shared" si="79"/>
        <v>0</v>
      </c>
      <c r="C443" s="132">
        <f t="shared" si="79"/>
        <v>0</v>
      </c>
      <c r="D443" s="130">
        <f t="shared" si="79"/>
        <v>0</v>
      </c>
      <c r="E443" s="132">
        <f t="shared" si="79"/>
        <v>0</v>
      </c>
      <c r="F443" s="71">
        <f>F402+[2]Total!B406</f>
        <v>0</v>
      </c>
      <c r="G443" s="71">
        <f>G402+[2]Total!C406</f>
        <v>0</v>
      </c>
      <c r="H443" s="67">
        <f t="shared" si="80"/>
        <v>0</v>
      </c>
      <c r="I443" s="67">
        <f t="shared" si="80"/>
        <v>0</v>
      </c>
      <c r="J443" s="71">
        <f>J402+[2]Total!D406</f>
        <v>0</v>
      </c>
      <c r="K443" s="71">
        <f>K402+[2]Total!E406</f>
        <v>0</v>
      </c>
      <c r="L443" s="68">
        <f t="shared" si="81"/>
        <v>0</v>
      </c>
      <c r="M443" s="72">
        <f>SUM(M402+[2]Total!G406)</f>
        <v>2195960.94</v>
      </c>
      <c r="N443" s="78">
        <f t="shared" si="82"/>
        <v>2195960.94</v>
      </c>
    </row>
    <row r="444" spans="1:14" ht="16.5" customHeight="1" thickBot="1" x14ac:dyDescent="0.3">
      <c r="A444" s="126" t="s">
        <v>42</v>
      </c>
      <c r="B444" s="131">
        <f t="shared" si="79"/>
        <v>676</v>
      </c>
      <c r="C444" s="133">
        <f t="shared" si="79"/>
        <v>756</v>
      </c>
      <c r="D444" s="131">
        <f t="shared" si="79"/>
        <v>53</v>
      </c>
      <c r="E444" s="133">
        <f t="shared" si="79"/>
        <v>110</v>
      </c>
      <c r="F444" s="71">
        <f>F403+[2]Total!B407</f>
        <v>3744413.1300000004</v>
      </c>
      <c r="G444" s="71">
        <f>G403+[2]Total!C407</f>
        <v>471877.54000000004</v>
      </c>
      <c r="H444" s="69">
        <f t="shared" si="80"/>
        <v>1437311.94</v>
      </c>
      <c r="I444" s="69">
        <f t="shared" si="80"/>
        <v>1450353.81</v>
      </c>
      <c r="J444" s="71">
        <f>J403+[2]Total!D407</f>
        <v>272663.49</v>
      </c>
      <c r="K444" s="71">
        <f>K403+[2]Total!E407</f>
        <v>401170.48</v>
      </c>
      <c r="L444" s="74">
        <f t="shared" si="81"/>
        <v>5454388.5600000005</v>
      </c>
      <c r="M444" s="72">
        <f>SUM(M403+[2]Total!G407)</f>
        <v>2323401.83</v>
      </c>
      <c r="N444" s="80">
        <f t="shared" si="82"/>
        <v>-3130986.7300000004</v>
      </c>
    </row>
    <row r="445" spans="1:14" ht="30" customHeight="1" thickBot="1" x14ac:dyDescent="0.3">
      <c r="A445" s="121" t="s">
        <v>9</v>
      </c>
      <c r="B445" s="127">
        <f t="shared" ref="B445:M445" si="83">SUM(B419:B444)</f>
        <v>3799</v>
      </c>
      <c r="C445" s="127">
        <f t="shared" si="83"/>
        <v>13358</v>
      </c>
      <c r="D445" s="127">
        <f t="shared" si="83"/>
        <v>1163</v>
      </c>
      <c r="E445" s="127">
        <f t="shared" si="83"/>
        <v>1379</v>
      </c>
      <c r="F445" s="85">
        <f t="shared" si="83"/>
        <v>18485115.396100003</v>
      </c>
      <c r="G445" s="85">
        <f t="shared" si="83"/>
        <v>7040807.5700000012</v>
      </c>
      <c r="H445" s="85">
        <f t="shared" si="83"/>
        <v>14490785.399999999</v>
      </c>
      <c r="I445" s="85">
        <f t="shared" si="83"/>
        <v>5152286.6399999997</v>
      </c>
      <c r="J445" s="85">
        <f t="shared" si="83"/>
        <v>4531747.4000000004</v>
      </c>
      <c r="K445" s="85">
        <f t="shared" si="83"/>
        <v>2614152.34</v>
      </c>
      <c r="L445" s="128">
        <f t="shared" si="83"/>
        <v>37507648.196100004</v>
      </c>
      <c r="M445" s="114">
        <f t="shared" si="83"/>
        <v>51664821.359999999</v>
      </c>
      <c r="N445" s="129">
        <f t="shared" si="82"/>
        <v>14157173.163899995</v>
      </c>
    </row>
    <row r="450" spans="2:11" x14ac:dyDescent="0.25">
      <c r="B450" s="82" t="s">
        <v>62</v>
      </c>
      <c r="C450" s="82"/>
      <c r="D450" s="82"/>
      <c r="E450" s="82"/>
      <c r="F450" s="83"/>
      <c r="G450" s="35"/>
      <c r="H450" s="35"/>
      <c r="I450" s="35"/>
      <c r="J450" s="35"/>
      <c r="K450" s="35"/>
    </row>
    <row r="451" spans="2:11" x14ac:dyDescent="0.25">
      <c r="B451" s="56"/>
      <c r="C451" s="56"/>
      <c r="D451" s="56"/>
      <c r="E451" s="56"/>
      <c r="F451" s="35"/>
      <c r="G451" s="35"/>
      <c r="H451" s="35"/>
      <c r="I451" s="35"/>
      <c r="J451" s="35"/>
      <c r="K451" s="35"/>
    </row>
    <row r="452" spans="2:11" x14ac:dyDescent="0.25">
      <c r="B452" s="56"/>
      <c r="C452" s="56"/>
      <c r="D452" s="56"/>
      <c r="E452" s="56"/>
      <c r="F452" s="35"/>
      <c r="G452" s="35"/>
      <c r="H452" s="35"/>
      <c r="I452" s="35"/>
      <c r="J452" s="35"/>
      <c r="K452" s="35"/>
    </row>
    <row r="453" spans="2:11" x14ac:dyDescent="0.25">
      <c r="B453" s="56"/>
      <c r="C453" s="56"/>
      <c r="D453" s="56"/>
      <c r="E453" s="56"/>
      <c r="F453" s="35"/>
      <c r="G453" s="35"/>
      <c r="H453" s="35"/>
      <c r="I453" s="35"/>
      <c r="J453" s="35"/>
      <c r="K453" s="35"/>
    </row>
    <row r="454" spans="2:11" x14ac:dyDescent="0.25">
      <c r="B454" s="56"/>
      <c r="C454" s="56"/>
      <c r="D454" s="56"/>
      <c r="E454" s="56"/>
      <c r="F454" s="35"/>
      <c r="G454" s="35"/>
      <c r="H454" s="35"/>
      <c r="I454" s="35"/>
      <c r="J454" s="35"/>
      <c r="K454" s="35"/>
    </row>
    <row r="455" spans="2:11" x14ac:dyDescent="0.25">
      <c r="B455" s="56"/>
      <c r="C455" s="56"/>
      <c r="D455" s="56"/>
      <c r="E455" s="56"/>
      <c r="F455" s="35"/>
      <c r="G455" s="35"/>
      <c r="H455" s="35"/>
      <c r="I455" s="35"/>
      <c r="J455" s="35"/>
      <c r="K455" s="35"/>
    </row>
    <row r="456" spans="2:11" x14ac:dyDescent="0.25">
      <c r="B456" s="56"/>
      <c r="C456" s="56"/>
      <c r="D456" s="56"/>
      <c r="E456" s="56"/>
      <c r="F456" s="35"/>
      <c r="G456" s="35"/>
      <c r="H456" s="35"/>
      <c r="I456" s="35"/>
      <c r="J456" s="35"/>
      <c r="K456" s="35"/>
    </row>
    <row r="457" spans="2:11" x14ac:dyDescent="0.25">
      <c r="B457" s="56"/>
      <c r="C457" s="56"/>
      <c r="D457" s="56"/>
      <c r="E457" s="56"/>
      <c r="F457" s="35"/>
      <c r="G457" s="35"/>
      <c r="H457" s="35"/>
      <c r="I457" s="35"/>
      <c r="J457" s="35"/>
      <c r="K457" s="35"/>
    </row>
    <row r="458" spans="2:11" x14ac:dyDescent="0.25">
      <c r="B458" s="56"/>
      <c r="C458" s="56"/>
      <c r="D458" s="56"/>
      <c r="E458" s="56"/>
      <c r="F458" s="35"/>
      <c r="G458" s="35"/>
      <c r="H458" s="35"/>
      <c r="I458" s="35"/>
      <c r="J458" s="35"/>
      <c r="K458" s="35"/>
    </row>
    <row r="459" spans="2:11" x14ac:dyDescent="0.25">
      <c r="B459" s="56"/>
      <c r="C459" s="56"/>
      <c r="D459" s="56"/>
      <c r="E459" s="56"/>
      <c r="F459" s="35"/>
      <c r="G459" s="35"/>
      <c r="H459" s="35"/>
      <c r="I459" s="35"/>
      <c r="J459" s="35"/>
      <c r="K459" s="35"/>
    </row>
    <row r="460" spans="2:11" x14ac:dyDescent="0.25">
      <c r="B460" s="56"/>
      <c r="C460" s="56"/>
      <c r="D460" s="56"/>
      <c r="E460" s="56"/>
      <c r="F460" s="35"/>
      <c r="G460" s="35"/>
      <c r="H460" s="35"/>
      <c r="I460" s="35"/>
      <c r="J460" s="35"/>
      <c r="K460" s="35"/>
    </row>
    <row r="461" spans="2:11" x14ac:dyDescent="0.25">
      <c r="B461" s="56"/>
      <c r="C461" s="56"/>
      <c r="D461" s="56"/>
      <c r="E461" s="56"/>
      <c r="F461" s="35"/>
      <c r="G461" s="35"/>
      <c r="H461" s="35"/>
      <c r="I461" s="35"/>
      <c r="J461" s="35"/>
      <c r="K461" s="35"/>
    </row>
    <row r="462" spans="2:11" x14ac:dyDescent="0.25">
      <c r="B462" s="56"/>
      <c r="C462" s="56"/>
      <c r="D462" s="56"/>
      <c r="E462" s="56"/>
      <c r="F462" s="35"/>
      <c r="G462" s="35"/>
      <c r="H462" s="35"/>
      <c r="I462" s="35"/>
      <c r="J462" s="35"/>
      <c r="K462" s="35"/>
    </row>
    <row r="463" spans="2:11" x14ac:dyDescent="0.25">
      <c r="B463" s="56"/>
      <c r="C463" s="56"/>
      <c r="D463" s="56"/>
      <c r="E463" s="56"/>
      <c r="F463" s="35"/>
      <c r="G463" s="35"/>
      <c r="H463" s="35"/>
      <c r="I463" s="35"/>
      <c r="J463" s="35"/>
      <c r="K463" s="35"/>
    </row>
    <row r="464" spans="2:11" x14ac:dyDescent="0.25">
      <c r="B464" s="56"/>
      <c r="C464" s="56"/>
      <c r="D464" s="56"/>
      <c r="E464" s="56"/>
      <c r="F464" s="35"/>
      <c r="G464" s="35"/>
      <c r="H464" s="35"/>
      <c r="I464" s="35"/>
      <c r="J464" s="35"/>
      <c r="K464" s="35"/>
    </row>
    <row r="465" spans="2:11" x14ac:dyDescent="0.25">
      <c r="B465" s="56"/>
      <c r="C465" s="56"/>
      <c r="D465" s="56"/>
      <c r="E465" s="56"/>
      <c r="F465" s="35"/>
      <c r="G465" s="35"/>
      <c r="H465" s="35"/>
      <c r="I465" s="35"/>
      <c r="J465" s="35"/>
      <c r="K465" s="35"/>
    </row>
    <row r="466" spans="2:11" x14ac:dyDescent="0.25">
      <c r="B466" s="56"/>
      <c r="C466" s="56"/>
      <c r="D466" s="56"/>
      <c r="E466" s="56"/>
      <c r="F466" s="35"/>
      <c r="G466" s="35"/>
      <c r="H466" s="35"/>
      <c r="I466" s="35"/>
      <c r="J466" s="35"/>
      <c r="K466" s="35"/>
    </row>
    <row r="467" spans="2:11" x14ac:dyDescent="0.25">
      <c r="B467" s="56"/>
      <c r="C467" s="56"/>
      <c r="D467" s="56"/>
      <c r="E467" s="56"/>
      <c r="F467" s="35"/>
      <c r="G467" s="35"/>
      <c r="H467" s="35"/>
      <c r="I467" s="35"/>
      <c r="J467" s="35"/>
      <c r="K467" s="35"/>
    </row>
    <row r="468" spans="2:11" x14ac:dyDescent="0.25">
      <c r="B468" s="56"/>
      <c r="C468" s="56"/>
      <c r="D468" s="56"/>
      <c r="E468" s="56"/>
      <c r="F468" s="35"/>
      <c r="G468" s="35"/>
      <c r="H468" s="35"/>
      <c r="I468" s="35"/>
      <c r="J468" s="35"/>
      <c r="K468" s="35"/>
    </row>
    <row r="469" spans="2:11" x14ac:dyDescent="0.25">
      <c r="B469" s="56"/>
      <c r="C469" s="56"/>
      <c r="D469" s="56"/>
      <c r="E469" s="56"/>
      <c r="F469" s="35"/>
      <c r="G469" s="35"/>
      <c r="H469" s="35"/>
      <c r="I469" s="35"/>
      <c r="J469" s="35"/>
      <c r="K469" s="35"/>
    </row>
    <row r="470" spans="2:11" x14ac:dyDescent="0.25">
      <c r="B470" s="56"/>
      <c r="C470" s="56"/>
      <c r="D470" s="56"/>
      <c r="E470" s="56"/>
      <c r="F470" s="35"/>
      <c r="G470" s="35"/>
      <c r="H470" s="35"/>
      <c r="I470" s="35"/>
      <c r="J470" s="35"/>
      <c r="K470" s="35"/>
    </row>
    <row r="471" spans="2:11" x14ac:dyDescent="0.25">
      <c r="B471" s="56"/>
      <c r="C471" s="56"/>
      <c r="D471" s="56"/>
      <c r="E471" s="56"/>
      <c r="F471" s="35"/>
      <c r="G471" s="35"/>
      <c r="H471" s="35"/>
      <c r="I471" s="35"/>
      <c r="J471" s="35"/>
      <c r="K471" s="35"/>
    </row>
    <row r="472" spans="2:11" x14ac:dyDescent="0.25">
      <c r="B472" s="56"/>
      <c r="C472" s="56"/>
      <c r="D472" s="56"/>
      <c r="E472" s="56"/>
      <c r="F472" s="35"/>
      <c r="G472" s="35"/>
      <c r="H472" s="35"/>
      <c r="I472" s="35"/>
      <c r="J472" s="35"/>
      <c r="K472" s="35"/>
    </row>
    <row r="473" spans="2:11" x14ac:dyDescent="0.25">
      <c r="B473" s="56"/>
      <c r="C473" s="56"/>
      <c r="D473" s="56"/>
      <c r="E473" s="56"/>
      <c r="F473" s="35"/>
      <c r="G473" s="35"/>
      <c r="H473" s="35"/>
      <c r="I473" s="35"/>
      <c r="J473" s="35"/>
      <c r="K473" s="35"/>
    </row>
    <row r="474" spans="2:11" x14ac:dyDescent="0.25">
      <c r="B474" s="56"/>
      <c r="C474" s="56"/>
      <c r="D474" s="56"/>
      <c r="E474" s="56"/>
      <c r="F474" s="35"/>
      <c r="G474" s="35"/>
      <c r="H474" s="35"/>
      <c r="I474" s="35"/>
      <c r="J474" s="35"/>
      <c r="K474" s="35"/>
    </row>
    <row r="475" spans="2:11" x14ac:dyDescent="0.25">
      <c r="B475" s="56"/>
      <c r="C475" s="56"/>
      <c r="D475" s="56"/>
      <c r="E475" s="56"/>
      <c r="F475" s="35"/>
      <c r="G475" s="35"/>
      <c r="H475" s="35"/>
      <c r="I475" s="35"/>
      <c r="J475" s="35"/>
      <c r="K475" s="35"/>
    </row>
    <row r="476" spans="2:11" x14ac:dyDescent="0.25">
      <c r="B476" s="56"/>
      <c r="C476" s="56"/>
      <c r="D476" s="56"/>
      <c r="E476" s="56"/>
      <c r="F476" s="35"/>
      <c r="G476" s="35"/>
      <c r="H476" s="35"/>
      <c r="I476" s="35"/>
      <c r="J476" s="35"/>
      <c r="K476" s="35"/>
    </row>
    <row r="477" spans="2:11" x14ac:dyDescent="0.25">
      <c r="B477" s="56"/>
      <c r="C477" s="56"/>
      <c r="D477" s="56"/>
      <c r="E477" s="56"/>
      <c r="F477" s="35"/>
      <c r="G477" s="35"/>
      <c r="H477" s="35"/>
      <c r="I477" s="35"/>
      <c r="J477" s="35"/>
      <c r="K477" s="35"/>
    </row>
    <row r="478" spans="2:11" x14ac:dyDescent="0.25">
      <c r="B478" s="56"/>
      <c r="C478" s="56"/>
      <c r="D478" s="56"/>
      <c r="E478" s="56"/>
      <c r="F478" s="35"/>
      <c r="G478" s="35"/>
      <c r="H478" s="35"/>
      <c r="I478" s="35"/>
      <c r="J478" s="35"/>
      <c r="K478" s="35"/>
    </row>
    <row r="479" spans="2:11" x14ac:dyDescent="0.25">
      <c r="B479" s="56"/>
      <c r="C479" s="56"/>
      <c r="D479" s="56"/>
      <c r="E479" s="56"/>
      <c r="F479" s="35"/>
      <c r="G479" s="35"/>
      <c r="H479" s="35"/>
      <c r="I479" s="35"/>
      <c r="J479" s="35"/>
      <c r="K479" s="35"/>
    </row>
    <row r="480" spans="2:11" x14ac:dyDescent="0.25">
      <c r="B480" s="56"/>
      <c r="C480" s="56"/>
      <c r="D480" s="56"/>
      <c r="E480" s="56"/>
      <c r="F480" s="35"/>
      <c r="G480" s="35"/>
      <c r="H480" s="35"/>
      <c r="I480" s="35"/>
      <c r="J480" s="35"/>
      <c r="K480" s="35"/>
    </row>
    <row r="481" spans="2:11" x14ac:dyDescent="0.25">
      <c r="B481" s="56"/>
      <c r="C481" s="56"/>
      <c r="D481" s="56"/>
      <c r="E481" s="56"/>
      <c r="F481" s="35"/>
      <c r="G481" s="35"/>
      <c r="H481" s="35"/>
      <c r="I481" s="35"/>
      <c r="J481" s="35"/>
      <c r="K481" s="35"/>
    </row>
    <row r="482" spans="2:11" x14ac:dyDescent="0.25">
      <c r="B482" s="56"/>
      <c r="C482" s="56"/>
      <c r="D482" s="56"/>
      <c r="E482" s="56"/>
      <c r="F482" s="35"/>
      <c r="G482" s="35"/>
      <c r="H482" s="35"/>
      <c r="I482" s="35"/>
      <c r="J482" s="35"/>
      <c r="K482" s="35"/>
    </row>
    <row r="483" spans="2:11" x14ac:dyDescent="0.25">
      <c r="B483" s="56"/>
      <c r="C483" s="56"/>
      <c r="D483" s="56"/>
      <c r="E483" s="56"/>
      <c r="F483" s="35"/>
      <c r="G483" s="35"/>
      <c r="H483" s="35"/>
      <c r="I483" s="35"/>
      <c r="J483" s="35"/>
      <c r="K483" s="35"/>
    </row>
  </sheetData>
  <mergeCells count="127">
    <mergeCell ref="G3:H3"/>
    <mergeCell ref="F35:G35"/>
    <mergeCell ref="A96:F96"/>
    <mergeCell ref="I3:J3"/>
    <mergeCell ref="B159:E159"/>
    <mergeCell ref="I220:J220"/>
    <mergeCell ref="K375:L375"/>
    <mergeCell ref="A406:H406"/>
    <mergeCell ref="H283:I283"/>
    <mergeCell ref="A220:F220"/>
    <mergeCell ref="J283:K283"/>
    <mergeCell ref="J252:K252"/>
    <mergeCell ref="B128:E128"/>
    <mergeCell ref="G282:H282"/>
    <mergeCell ref="K127:L127"/>
    <mergeCell ref="F417:G417"/>
    <mergeCell ref="A65:F65"/>
    <mergeCell ref="I65:J65"/>
    <mergeCell ref="I34:J34"/>
    <mergeCell ref="F376:G376"/>
    <mergeCell ref="F314:G314"/>
    <mergeCell ref="G251:H251"/>
    <mergeCell ref="K344:L344"/>
    <mergeCell ref="H4:I4"/>
    <mergeCell ref="A66:A67"/>
    <mergeCell ref="H314:I314"/>
    <mergeCell ref="J376:K376"/>
    <mergeCell ref="J314:K314"/>
    <mergeCell ref="B4:E4"/>
    <mergeCell ref="B190:E190"/>
    <mergeCell ref="F159:G159"/>
    <mergeCell ref="F97:G97"/>
    <mergeCell ref="A416:F416"/>
    <mergeCell ref="J35:K35"/>
    <mergeCell ref="A4:A5"/>
    <mergeCell ref="A344:F344"/>
    <mergeCell ref="J221:K221"/>
    <mergeCell ref="G313:H313"/>
    <mergeCell ref="A314:A315"/>
    <mergeCell ref="A34:F34"/>
    <mergeCell ref="A159:A160"/>
    <mergeCell ref="H66:I66"/>
    <mergeCell ref="A97:A98"/>
    <mergeCell ref="J66:K66"/>
    <mergeCell ref="K65:L65"/>
    <mergeCell ref="G96:H96"/>
    <mergeCell ref="A1:N2"/>
    <mergeCell ref="B417:E417"/>
    <mergeCell ref="H97:I97"/>
    <mergeCell ref="J159:K159"/>
    <mergeCell ref="J97:K97"/>
    <mergeCell ref="K3:L3"/>
    <mergeCell ref="F4:G4"/>
    <mergeCell ref="A282:F282"/>
    <mergeCell ref="H345:I345"/>
    <mergeCell ref="F128:G128"/>
    <mergeCell ref="A375:F375"/>
    <mergeCell ref="I189:J189"/>
    <mergeCell ref="K251:L251"/>
    <mergeCell ref="I251:J251"/>
    <mergeCell ref="K189:L189"/>
    <mergeCell ref="A221:A222"/>
    <mergeCell ref="F252:G252"/>
    <mergeCell ref="A313:F313"/>
    <mergeCell ref="F283:G283"/>
    <mergeCell ref="A251:F251"/>
    <mergeCell ref="H252:I252"/>
    <mergeCell ref="B97:E97"/>
    <mergeCell ref="A376:A377"/>
    <mergeCell ref="B252:E252"/>
    <mergeCell ref="A417:A418"/>
    <mergeCell ref="G375:H375"/>
    <mergeCell ref="I375:J375"/>
    <mergeCell ref="K313:L313"/>
    <mergeCell ref="B35:E35"/>
    <mergeCell ref="A345:A346"/>
    <mergeCell ref="G127:H127"/>
    <mergeCell ref="H417:I417"/>
    <mergeCell ref="F66:G66"/>
    <mergeCell ref="I96:J96"/>
    <mergeCell ref="B66:E66"/>
    <mergeCell ref="K96:L96"/>
    <mergeCell ref="I127:J127"/>
    <mergeCell ref="J417:K417"/>
    <mergeCell ref="F345:G345"/>
    <mergeCell ref="F190:G190"/>
    <mergeCell ref="G65:H65"/>
    <mergeCell ref="A127:F127"/>
    <mergeCell ref="H190:I190"/>
    <mergeCell ref="H159:I159"/>
    <mergeCell ref="K220:L220"/>
    <mergeCell ref="I282:J282"/>
    <mergeCell ref="I313:J313"/>
    <mergeCell ref="K282:L282"/>
    <mergeCell ref="A3:F3"/>
    <mergeCell ref="B221:E221"/>
    <mergeCell ref="B345:E345"/>
    <mergeCell ref="G189:H189"/>
    <mergeCell ref="G220:H220"/>
    <mergeCell ref="J4:K4"/>
    <mergeCell ref="G34:H34"/>
    <mergeCell ref="I416:J416"/>
    <mergeCell ref="J345:K345"/>
    <mergeCell ref="H128:I128"/>
    <mergeCell ref="G344:H344"/>
    <mergeCell ref="I344:J344"/>
    <mergeCell ref="J128:K128"/>
    <mergeCell ref="A190:A191"/>
    <mergeCell ref="A35:A36"/>
    <mergeCell ref="H376:I376"/>
    <mergeCell ref="B283:E283"/>
    <mergeCell ref="B376:E376"/>
    <mergeCell ref="B314:E314"/>
    <mergeCell ref="G158:H158"/>
    <mergeCell ref="I158:J158"/>
    <mergeCell ref="K416:L416"/>
    <mergeCell ref="K158:L158"/>
    <mergeCell ref="G416:H416"/>
    <mergeCell ref="A128:A129"/>
    <mergeCell ref="H35:I35"/>
    <mergeCell ref="F221:G221"/>
    <mergeCell ref="A189:F189"/>
    <mergeCell ref="H221:I221"/>
    <mergeCell ref="A158:F158"/>
    <mergeCell ref="J190:K190"/>
    <mergeCell ref="A283:A284"/>
    <mergeCell ref="A252:A253"/>
  </mergeCells>
  <printOptions horizontalCentered="1"/>
  <pageMargins left="0.19685039370078741" right="0.11811023622047249" top="1.6535433070866139" bottom="0.15748031496062989" header="1.417322834645669" footer="0.11811023622047249"/>
  <pageSetup paperSize="9" scale="50" fitToHeight="0" orientation="landscape"/>
  <rowBreaks count="12" manualBreakCount="12">
    <brk id="33" max="16383" man="1"/>
    <brk id="64" max="16383" man="1"/>
    <brk id="95" max="16383" man="1"/>
    <brk id="126" max="16383" man="1"/>
    <brk id="157" max="16383" man="1"/>
    <brk id="188" max="16383" man="1"/>
    <brk id="219" max="16383" man="1"/>
    <brk id="250" max="16383" man="1"/>
    <brk id="281" max="16383" man="1"/>
    <brk id="312" max="16383" man="1"/>
    <brk id="343" max="16383" man="1"/>
    <brk id="374" max="16383" man="1"/>
  </row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1">
    <tabColor rgb="FF00B050"/>
    <pageSetUpPr fitToPage="1"/>
  </sheetPr>
  <dimension ref="A1:O24"/>
  <sheetViews>
    <sheetView zoomScale="90" zoomScaleNormal="90" workbookViewId="0">
      <selection activeCell="D14" sqref="D14"/>
    </sheetView>
  </sheetViews>
  <sheetFormatPr defaultRowHeight="15" x14ac:dyDescent="0.25"/>
  <cols>
    <col min="1" max="1" width="9.42578125" customWidth="1"/>
    <col min="2" max="2" width="12" customWidth="1"/>
    <col min="3" max="6" width="8.7109375" customWidth="1"/>
    <col min="7" max="7" width="15" bestFit="1" customWidth="1"/>
    <col min="8" max="8" width="11.7109375" customWidth="1"/>
    <col min="9" max="9" width="13.85546875" bestFit="1" customWidth="1"/>
    <col min="10" max="10" width="11.7109375" customWidth="1"/>
    <col min="11" max="11" width="15" bestFit="1" customWidth="1"/>
    <col min="12" max="12" width="11.7109375" customWidth="1"/>
    <col min="13" max="14" width="15" bestFit="1" customWidth="1"/>
    <col min="15" max="15" width="13.85546875" style="28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v>0</v>
      </c>
      <c r="H5" s="191" t="s">
        <v>65</v>
      </c>
      <c r="I5" s="173"/>
      <c r="J5" s="61">
        <v>0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Total!B7</f>
        <v>0</v>
      </c>
      <c r="D8" s="12">
        <f>Total!C7</f>
        <v>0</v>
      </c>
      <c r="E8" s="12">
        <f>Total!D7</f>
        <v>0</v>
      </c>
      <c r="F8" s="12">
        <f>Total!E7</f>
        <v>0</v>
      </c>
      <c r="G8" s="162">
        <f>Total!F7</f>
        <v>15775.74</v>
      </c>
      <c r="H8" s="162">
        <f>Total!G7</f>
        <v>0</v>
      </c>
      <c r="I8" s="162">
        <f>Total!H7</f>
        <v>13590</v>
      </c>
      <c r="J8" s="162">
        <f>Total!I7</f>
        <v>0</v>
      </c>
      <c r="K8" s="162">
        <f>Total!J7</f>
        <v>16128.63</v>
      </c>
      <c r="L8" s="162">
        <f>Total!K7</f>
        <v>0</v>
      </c>
      <c r="M8" s="162">
        <f>Total!L7</f>
        <v>45494.369999999995</v>
      </c>
      <c r="N8" s="162">
        <f>Total!M7</f>
        <v>179798.76</v>
      </c>
      <c r="O8" s="162">
        <f>Total!N7</f>
        <v>134304.39000000001</v>
      </c>
    </row>
    <row r="9" spans="1:15" s="13" customFormat="1" ht="16.5" customHeight="1" x14ac:dyDescent="0.25">
      <c r="A9" s="188" t="s">
        <v>43</v>
      </c>
      <c r="B9" s="189"/>
      <c r="C9" s="12">
        <f>Total!B38</f>
        <v>0</v>
      </c>
      <c r="D9" s="12">
        <f>Total!C38</f>
        <v>0</v>
      </c>
      <c r="E9" s="12">
        <f>Total!D38</f>
        <v>0</v>
      </c>
      <c r="F9" s="12">
        <f>Total!E38</f>
        <v>0</v>
      </c>
      <c r="G9" s="165">
        <f>Total!F38</f>
        <v>0</v>
      </c>
      <c r="H9" s="165">
        <f>Total!G38</f>
        <v>0</v>
      </c>
      <c r="I9" s="165">
        <f>Total!H38</f>
        <v>0</v>
      </c>
      <c r="J9" s="165">
        <f>Total!I38</f>
        <v>0</v>
      </c>
      <c r="K9" s="165">
        <f>Total!J38</f>
        <v>0</v>
      </c>
      <c r="L9" s="165">
        <f>Total!K38</f>
        <v>0</v>
      </c>
      <c r="M9" s="165">
        <f>Total!L38</f>
        <v>0</v>
      </c>
      <c r="N9" s="165">
        <f>Total!M38</f>
        <v>4102.5</v>
      </c>
      <c r="O9" s="165">
        <f>Total!N38</f>
        <v>4102.5</v>
      </c>
    </row>
    <row r="10" spans="1:15" s="13" customFormat="1" ht="16.5" customHeight="1" x14ac:dyDescent="0.25">
      <c r="A10" s="188" t="s">
        <v>44</v>
      </c>
      <c r="B10" s="189"/>
      <c r="C10" s="12">
        <f>Total!B69</f>
        <v>0</v>
      </c>
      <c r="D10" s="12">
        <f>Total!C69</f>
        <v>0</v>
      </c>
      <c r="E10" s="12">
        <f>Total!D69</f>
        <v>0</v>
      </c>
      <c r="F10" s="12">
        <f>Total!E69</f>
        <v>0</v>
      </c>
      <c r="G10" s="165">
        <f>Total!F69</f>
        <v>0</v>
      </c>
      <c r="H10" s="165">
        <f>Total!G69</f>
        <v>0</v>
      </c>
      <c r="I10" s="165">
        <f>Total!H69</f>
        <v>0</v>
      </c>
      <c r="J10" s="165">
        <f>Total!I69</f>
        <v>0</v>
      </c>
      <c r="K10" s="165">
        <f>Total!J69</f>
        <v>0</v>
      </c>
      <c r="L10" s="165">
        <f>Total!K69</f>
        <v>0</v>
      </c>
      <c r="M10" s="165">
        <f>Total!L69</f>
        <v>0</v>
      </c>
      <c r="N10" s="165">
        <f>Total!M69</f>
        <v>0</v>
      </c>
      <c r="O10" s="165">
        <f>Total!N69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Total!B100</f>
        <v>0</v>
      </c>
      <c r="D11" s="12">
        <f>Total!C100</f>
        <v>0</v>
      </c>
      <c r="E11" s="12">
        <f>Total!D100</f>
        <v>0</v>
      </c>
      <c r="F11" s="12">
        <f>Total!E100</f>
        <v>0</v>
      </c>
      <c r="G11" s="165">
        <f>Total!F100</f>
        <v>0</v>
      </c>
      <c r="H11" s="165">
        <f>Total!G100</f>
        <v>0</v>
      </c>
      <c r="I11" s="165">
        <f>Total!H100</f>
        <v>0</v>
      </c>
      <c r="J11" s="165">
        <f>Total!I100</f>
        <v>0</v>
      </c>
      <c r="K11" s="165">
        <f>Total!J100</f>
        <v>0</v>
      </c>
      <c r="L11" s="165">
        <f>Total!K100</f>
        <v>0</v>
      </c>
      <c r="M11" s="165">
        <f>Total!L100</f>
        <v>0</v>
      </c>
      <c r="N11" s="165">
        <f>Total!M100</f>
        <v>0</v>
      </c>
      <c r="O11" s="165">
        <f>Total!N100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Total!B131</f>
        <v>0</v>
      </c>
      <c r="D12" s="12">
        <f>Total!C131</f>
        <v>0</v>
      </c>
      <c r="E12" s="12">
        <f>Total!D131</f>
        <v>0</v>
      </c>
      <c r="F12" s="12">
        <f>Total!E131</f>
        <v>0</v>
      </c>
      <c r="G12" s="165">
        <f>Total!F131</f>
        <v>74753.16</v>
      </c>
      <c r="H12" s="165">
        <f>Total!G131</f>
        <v>0</v>
      </c>
      <c r="I12" s="165">
        <f>Total!H131</f>
        <v>6579.88</v>
      </c>
      <c r="J12" s="165">
        <f>Total!I131</f>
        <v>0</v>
      </c>
      <c r="K12" s="165">
        <f>Total!J131</f>
        <v>1108.71</v>
      </c>
      <c r="L12" s="165">
        <f>Total!K131</f>
        <v>0</v>
      </c>
      <c r="M12" s="165">
        <f>Total!L131</f>
        <v>82441.750000000015</v>
      </c>
      <c r="N12" s="165">
        <f>Total!M131</f>
        <v>174759.02</v>
      </c>
      <c r="O12" s="165">
        <f>Total!N131</f>
        <v>92317.269999999975</v>
      </c>
    </row>
    <row r="13" spans="1:15" s="13" customFormat="1" ht="16.5" customHeight="1" x14ac:dyDescent="0.25">
      <c r="A13" s="188" t="s">
        <v>47</v>
      </c>
      <c r="B13" s="189"/>
      <c r="C13" s="12">
        <f>Total!B162</f>
        <v>0</v>
      </c>
      <c r="D13" s="12">
        <f>Total!C162</f>
        <v>0</v>
      </c>
      <c r="E13" s="12">
        <f>Total!D162</f>
        <v>0</v>
      </c>
      <c r="F13" s="12">
        <f>Total!E162</f>
        <v>0</v>
      </c>
      <c r="G13" s="165">
        <f>Total!F162</f>
        <v>0</v>
      </c>
      <c r="H13" s="165">
        <f>Total!G162</f>
        <v>0</v>
      </c>
      <c r="I13" s="165">
        <f>Total!H162</f>
        <v>0</v>
      </c>
      <c r="J13" s="165">
        <f>Total!I162</f>
        <v>0</v>
      </c>
      <c r="K13" s="165">
        <f>Total!J162</f>
        <v>0</v>
      </c>
      <c r="L13" s="165">
        <f>Total!K162</f>
        <v>0</v>
      </c>
      <c r="M13" s="165">
        <f>Total!L162</f>
        <v>0</v>
      </c>
      <c r="N13" s="165">
        <f>Total!M162</f>
        <v>14466.76</v>
      </c>
      <c r="O13" s="165">
        <f>Total!N162</f>
        <v>14466.76</v>
      </c>
    </row>
    <row r="14" spans="1:15" s="13" customFormat="1" ht="16.5" customHeight="1" x14ac:dyDescent="0.25">
      <c r="A14" s="188" t="s">
        <v>48</v>
      </c>
      <c r="B14" s="189"/>
      <c r="C14" s="12">
        <f>Total!B193</f>
        <v>0</v>
      </c>
      <c r="D14" s="12">
        <f>Total!C193</f>
        <v>0</v>
      </c>
      <c r="E14" s="12">
        <f>Total!D193</f>
        <v>0</v>
      </c>
      <c r="F14" s="12">
        <f>Total!E193</f>
        <v>0</v>
      </c>
      <c r="G14" s="165">
        <f>Total!F193</f>
        <v>0</v>
      </c>
      <c r="H14" s="165">
        <f>Total!G193</f>
        <v>0</v>
      </c>
      <c r="I14" s="165">
        <f>Total!H193</f>
        <v>0</v>
      </c>
      <c r="J14" s="165">
        <f>Total!I193</f>
        <v>0</v>
      </c>
      <c r="K14" s="165">
        <f>Total!J193</f>
        <v>0</v>
      </c>
      <c r="L14" s="165">
        <f>Total!K193</f>
        <v>0</v>
      </c>
      <c r="M14" s="165">
        <f>Total!L193</f>
        <v>0</v>
      </c>
      <c r="N14" s="165">
        <f>Total!M193</f>
        <v>0</v>
      </c>
      <c r="O14" s="165">
        <f>Total!N193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Total!B224</f>
        <v>0</v>
      </c>
      <c r="D15" s="12">
        <f>Total!C224</f>
        <v>6</v>
      </c>
      <c r="E15" s="12">
        <f>Total!D224</f>
        <v>0</v>
      </c>
      <c r="F15" s="12">
        <f>Total!E224</f>
        <v>0</v>
      </c>
      <c r="G15" s="165">
        <f>Total!F224</f>
        <v>0</v>
      </c>
      <c r="H15" s="165">
        <f>Total!G224</f>
        <v>0</v>
      </c>
      <c r="I15" s="165">
        <f>Total!H224</f>
        <v>0</v>
      </c>
      <c r="J15" s="165">
        <f>Total!I224</f>
        <v>0</v>
      </c>
      <c r="K15" s="165">
        <f>Total!J224</f>
        <v>0</v>
      </c>
      <c r="L15" s="165">
        <f>Total!K224</f>
        <v>0</v>
      </c>
      <c r="M15" s="165">
        <f>Total!L224</f>
        <v>0</v>
      </c>
      <c r="N15" s="165">
        <f>Total!M224</f>
        <v>9038</v>
      </c>
      <c r="O15" s="165">
        <f>Total!N224</f>
        <v>9038</v>
      </c>
    </row>
    <row r="16" spans="1:15" s="13" customFormat="1" ht="16.5" customHeight="1" x14ac:dyDescent="0.25">
      <c r="A16" s="188" t="s">
        <v>50</v>
      </c>
      <c r="B16" s="189"/>
      <c r="C16" s="12">
        <f>Total!B255</f>
        <v>0</v>
      </c>
      <c r="D16" s="12">
        <f>Total!C255</f>
        <v>3</v>
      </c>
      <c r="E16" s="12">
        <f>Total!D255</f>
        <v>0</v>
      </c>
      <c r="F16" s="12">
        <f>Total!E255</f>
        <v>1</v>
      </c>
      <c r="G16" s="165">
        <f>Total!F255</f>
        <v>0</v>
      </c>
      <c r="H16" s="165">
        <f>Total!G255</f>
        <v>0</v>
      </c>
      <c r="I16" s="165">
        <f>Total!H255</f>
        <v>0</v>
      </c>
      <c r="J16" s="165">
        <f>Total!I255</f>
        <v>0</v>
      </c>
      <c r="K16" s="165">
        <f>Total!J255</f>
        <v>0</v>
      </c>
      <c r="L16" s="165">
        <f>Total!K255</f>
        <v>0</v>
      </c>
      <c r="M16" s="165">
        <f>Total!L255</f>
        <v>0</v>
      </c>
      <c r="N16" s="165">
        <f>Total!M255</f>
        <v>128675.72</v>
      </c>
      <c r="O16" s="165">
        <f>Total!N255</f>
        <v>128675.72</v>
      </c>
    </row>
    <row r="17" spans="1:15" s="13" customFormat="1" ht="16.5" customHeight="1" x14ac:dyDescent="0.25">
      <c r="A17" s="188" t="s">
        <v>51</v>
      </c>
      <c r="B17" s="189"/>
      <c r="C17" s="12">
        <f>Total!B286</f>
        <v>0</v>
      </c>
      <c r="D17" s="12">
        <f>Total!C286</f>
        <v>6</v>
      </c>
      <c r="E17" s="12">
        <f>Total!D286</f>
        <v>0</v>
      </c>
      <c r="F17" s="12">
        <f>Total!E286</f>
        <v>0</v>
      </c>
      <c r="G17" s="165">
        <f>Total!F286</f>
        <v>0</v>
      </c>
      <c r="H17" s="165">
        <f>Total!G286</f>
        <v>0</v>
      </c>
      <c r="I17" s="165">
        <f>Total!H286</f>
        <v>0</v>
      </c>
      <c r="J17" s="165">
        <f>Total!I286</f>
        <v>0</v>
      </c>
      <c r="K17" s="165">
        <f>Total!J286</f>
        <v>0</v>
      </c>
      <c r="L17" s="165">
        <f>Total!K286</f>
        <v>0</v>
      </c>
      <c r="M17" s="165">
        <f>Total!L286</f>
        <v>0</v>
      </c>
      <c r="N17" s="165">
        <f>Total!M286</f>
        <v>13655</v>
      </c>
      <c r="O17" s="165">
        <f>Total!N286</f>
        <v>13655</v>
      </c>
    </row>
    <row r="18" spans="1:15" s="13" customFormat="1" ht="16.5" customHeight="1" x14ac:dyDescent="0.25">
      <c r="A18" s="188" t="s">
        <v>53</v>
      </c>
      <c r="B18" s="189"/>
      <c r="C18" s="12">
        <f>Total!B317</f>
        <v>0</v>
      </c>
      <c r="D18" s="12">
        <f>Total!C317</f>
        <v>6</v>
      </c>
      <c r="E18" s="12">
        <f>Total!D317</f>
        <v>0</v>
      </c>
      <c r="F18" s="12">
        <f>Total!E317</f>
        <v>2</v>
      </c>
      <c r="G18" s="165">
        <f>Total!F317</f>
        <v>0</v>
      </c>
      <c r="H18" s="165">
        <f>Total!G317</f>
        <v>0</v>
      </c>
      <c r="I18" s="165">
        <f>Total!H317</f>
        <v>0</v>
      </c>
      <c r="J18" s="165">
        <f>Total!I317</f>
        <v>0</v>
      </c>
      <c r="K18" s="165">
        <f>Total!J317</f>
        <v>0</v>
      </c>
      <c r="L18" s="165">
        <f>Total!K317</f>
        <v>0</v>
      </c>
      <c r="M18" s="165">
        <f>Total!L317</f>
        <v>0</v>
      </c>
      <c r="N18" s="165">
        <f>Total!M317</f>
        <v>132241.67000000001</v>
      </c>
      <c r="O18" s="165">
        <f>Total!N317</f>
        <v>132241.67000000001</v>
      </c>
    </row>
    <row r="19" spans="1:15" s="13" customFormat="1" ht="16.5" customHeight="1" thickBot="1" x14ac:dyDescent="0.3">
      <c r="A19" s="188" t="s">
        <v>54</v>
      </c>
      <c r="B19" s="189"/>
      <c r="C19" s="12">
        <f>Total!B348</f>
        <v>0</v>
      </c>
      <c r="D19" s="12">
        <f>Total!C348</f>
        <v>0</v>
      </c>
      <c r="E19" s="12">
        <f>Total!D348</f>
        <v>0</v>
      </c>
      <c r="F19" s="12">
        <f>Total!E348</f>
        <v>0</v>
      </c>
      <c r="G19" s="165">
        <f>Total!F348</f>
        <v>0</v>
      </c>
      <c r="H19" s="165">
        <f>Total!G348</f>
        <v>0</v>
      </c>
      <c r="I19" s="165">
        <f>Total!H348</f>
        <v>0</v>
      </c>
      <c r="J19" s="165">
        <f>Total!I348</f>
        <v>0</v>
      </c>
      <c r="K19" s="165">
        <f>Total!J348</f>
        <v>0</v>
      </c>
      <c r="L19" s="165">
        <f>Total!K348</f>
        <v>0</v>
      </c>
      <c r="M19" s="165">
        <f>Total!L348</f>
        <v>0</v>
      </c>
      <c r="N19" s="165">
        <f>Total!M348</f>
        <v>0</v>
      </c>
      <c r="O19" s="165">
        <f>Total!N348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21</v>
      </c>
      <c r="E20" s="17">
        <f t="shared" si="0"/>
        <v>0</v>
      </c>
      <c r="F20" s="17">
        <f t="shared" si="0"/>
        <v>3</v>
      </c>
      <c r="G20" s="18">
        <f t="shared" si="0"/>
        <v>90528.900000000009</v>
      </c>
      <c r="H20" s="18">
        <f t="shared" si="0"/>
        <v>0</v>
      </c>
      <c r="I20" s="18">
        <f t="shared" si="0"/>
        <v>20169.88</v>
      </c>
      <c r="J20" s="18">
        <f t="shared" si="0"/>
        <v>0</v>
      </c>
      <c r="K20" s="18">
        <f t="shared" si="0"/>
        <v>17237.34</v>
      </c>
      <c r="L20" s="18">
        <f t="shared" si="0"/>
        <v>0</v>
      </c>
      <c r="M20" s="18">
        <f t="shared" si="0"/>
        <v>127936.12000000001</v>
      </c>
      <c r="N20" s="18">
        <f t="shared" si="0"/>
        <v>656737.43000000005</v>
      </c>
      <c r="O20" s="30">
        <f t="shared" si="0"/>
        <v>528801.31000000006</v>
      </c>
    </row>
    <row r="24" spans="1:15" x14ac:dyDescent="0.25">
      <c r="B24" t="s">
        <v>73</v>
      </c>
      <c r="C24" s="20"/>
      <c r="G24" s="20">
        <f>SUM(C20:E20)</f>
        <v>21</v>
      </c>
      <c r="H24" s="20">
        <f>G24-J5</f>
        <v>21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78740157480314965" header="0.31496062992125978" footer="0.31496062992125978"/>
  <pageSetup paperSize="9" scale="83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00B050"/>
    <pageSetUpPr fitToPage="1"/>
  </sheetPr>
  <dimension ref="A1:O24"/>
  <sheetViews>
    <sheetView zoomScale="90" zoomScaleNormal="90" workbookViewId="0">
      <selection activeCell="G5" sqref="G5"/>
    </sheetView>
  </sheetViews>
  <sheetFormatPr defaultRowHeight="15" x14ac:dyDescent="0.25"/>
  <cols>
    <col min="1" max="1" width="9.42578125" customWidth="1"/>
    <col min="2" max="2" width="11.140625" customWidth="1"/>
    <col min="3" max="6" width="8.7109375" customWidth="1"/>
    <col min="7" max="7" width="13.85546875" bestFit="1" customWidth="1"/>
    <col min="8" max="8" width="11.7109375" customWidth="1"/>
    <col min="9" max="9" width="13.85546875" bestFit="1" customWidth="1"/>
    <col min="10" max="10" width="11.7109375" customWidth="1"/>
    <col min="11" max="11" width="15" bestFit="1" customWidth="1"/>
    <col min="12" max="12" width="11.7109375" customWidth="1"/>
    <col min="13" max="14" width="15" bestFit="1" customWidth="1"/>
    <col min="15" max="15" width="13.85546875" style="28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convenio'!$O$4</f>
        <v>458</v>
      </c>
      <c r="H5" s="191" t="s">
        <v>65</v>
      </c>
      <c r="I5" s="173"/>
      <c r="J5" s="61">
        <f>'[3]intern. diaria convenio'!$O$50</f>
        <v>785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Total!B6</f>
        <v>0</v>
      </c>
      <c r="D8" s="12">
        <f>Total!C6</f>
        <v>0</v>
      </c>
      <c r="E8" s="12">
        <f>Total!D6</f>
        <v>0</v>
      </c>
      <c r="F8" s="12">
        <f>Total!E6</f>
        <v>0</v>
      </c>
      <c r="G8" s="162">
        <f>Total!F6</f>
        <v>11696.8</v>
      </c>
      <c r="H8" s="163">
        <f>Total!G6</f>
        <v>0</v>
      </c>
      <c r="I8" s="162">
        <f>Total!H6</f>
        <v>13973.75</v>
      </c>
      <c r="J8" s="163">
        <f>Total!I6</f>
        <v>0</v>
      </c>
      <c r="K8" s="162">
        <f>Total!J6</f>
        <v>48166.66</v>
      </c>
      <c r="L8" s="163">
        <f>Total!K6</f>
        <v>0</v>
      </c>
      <c r="M8" s="164">
        <f>Total!L6</f>
        <v>73837.210000000006</v>
      </c>
      <c r="N8" s="164">
        <f>Total!M6</f>
        <v>72162.5</v>
      </c>
      <c r="O8" s="164">
        <f>Total!N6</f>
        <v>-1674.7100000000064</v>
      </c>
    </row>
    <row r="9" spans="1:15" s="13" customFormat="1" ht="16.5" customHeight="1" x14ac:dyDescent="0.25">
      <c r="A9" s="188" t="s">
        <v>43</v>
      </c>
      <c r="B9" s="189"/>
      <c r="C9" s="12">
        <f>Total!B37</f>
        <v>0</v>
      </c>
      <c r="D9" s="12">
        <f>Total!C37</f>
        <v>0</v>
      </c>
      <c r="E9" s="12">
        <f>Total!D37</f>
        <v>0</v>
      </c>
      <c r="F9" s="12">
        <f>Total!E37</f>
        <v>0</v>
      </c>
      <c r="G9" s="165">
        <f>Total!F37</f>
        <v>19777.439999999999</v>
      </c>
      <c r="H9" s="165">
        <f>Total!G37</f>
        <v>0</v>
      </c>
      <c r="I9" s="165">
        <f>Total!H37</f>
        <v>32394.31</v>
      </c>
      <c r="J9" s="165">
        <f>Total!I37</f>
        <v>0</v>
      </c>
      <c r="K9" s="165">
        <f>Total!J37</f>
        <v>82180.800000000003</v>
      </c>
      <c r="L9" s="165">
        <f>Total!K37</f>
        <v>0</v>
      </c>
      <c r="M9" s="165">
        <f>Total!L37</f>
        <v>134352.54999999999</v>
      </c>
      <c r="N9" s="165">
        <f>Total!M37</f>
        <v>172252.5</v>
      </c>
      <c r="O9" s="165">
        <f>Total!N37</f>
        <v>37899.950000000012</v>
      </c>
    </row>
    <row r="10" spans="1:15" s="13" customFormat="1" ht="16.5" customHeight="1" x14ac:dyDescent="0.25">
      <c r="A10" s="188" t="s">
        <v>44</v>
      </c>
      <c r="B10" s="189"/>
      <c r="C10" s="12">
        <f>Total!B68</f>
        <v>0</v>
      </c>
      <c r="D10" s="12">
        <f>Total!C68</f>
        <v>0</v>
      </c>
      <c r="E10" s="12">
        <f>Total!D68</f>
        <v>0</v>
      </c>
      <c r="F10" s="12">
        <f>Total!E68</f>
        <v>0</v>
      </c>
      <c r="G10" s="165">
        <f>Total!F68</f>
        <v>21886.55</v>
      </c>
      <c r="H10" s="165">
        <f>Total!G68</f>
        <v>0</v>
      </c>
      <c r="I10" s="165">
        <f>Total!H68</f>
        <v>35189.06</v>
      </c>
      <c r="J10" s="165">
        <f>Total!I68</f>
        <v>0</v>
      </c>
      <c r="K10" s="165">
        <f>Total!J68</f>
        <v>84338.17</v>
      </c>
      <c r="L10" s="165">
        <f>Total!K68</f>
        <v>0</v>
      </c>
      <c r="M10" s="165">
        <f>Total!L68</f>
        <v>141413.78</v>
      </c>
      <c r="N10" s="165">
        <f>Total!M68</f>
        <v>149190</v>
      </c>
      <c r="O10" s="165">
        <f>Total!N68</f>
        <v>7776.2200000000012</v>
      </c>
    </row>
    <row r="11" spans="1:15" s="13" customFormat="1" ht="16.5" customHeight="1" x14ac:dyDescent="0.25">
      <c r="A11" s="188" t="s">
        <v>45</v>
      </c>
      <c r="B11" s="189"/>
      <c r="C11" s="12">
        <f>Total!B99</f>
        <v>0</v>
      </c>
      <c r="D11" s="12">
        <f>Total!C99</f>
        <v>0</v>
      </c>
      <c r="E11" s="12">
        <f>Total!D99</f>
        <v>0</v>
      </c>
      <c r="F11" s="12">
        <f>Total!E99</f>
        <v>0</v>
      </c>
      <c r="G11" s="165">
        <f>Total!F99</f>
        <v>31289.759999999998</v>
      </c>
      <c r="H11" s="165">
        <f>Total!G99</f>
        <v>0</v>
      </c>
      <c r="I11" s="165">
        <f>Total!H99</f>
        <v>32127.23</v>
      </c>
      <c r="J11" s="165">
        <f>Total!I99</f>
        <v>0</v>
      </c>
      <c r="K11" s="165">
        <f>Total!J99</f>
        <v>81147.990000000005</v>
      </c>
      <c r="L11" s="165">
        <f>Total!K99</f>
        <v>0</v>
      </c>
      <c r="M11" s="165">
        <f>Total!L99</f>
        <v>144564.98000000001</v>
      </c>
      <c r="N11" s="165">
        <f>Total!M99</f>
        <v>176858</v>
      </c>
      <c r="O11" s="165">
        <f>Total!N99</f>
        <v>32293.01999999999</v>
      </c>
    </row>
    <row r="12" spans="1:15" s="13" customFormat="1" ht="16.5" customHeight="1" x14ac:dyDescent="0.25">
      <c r="A12" s="188" t="s">
        <v>46</v>
      </c>
      <c r="B12" s="189"/>
      <c r="C12" s="12">
        <f>Total!B130</f>
        <v>0</v>
      </c>
      <c r="D12" s="12">
        <f>Total!C130</f>
        <v>0</v>
      </c>
      <c r="E12" s="12">
        <f>Total!D130</f>
        <v>0</v>
      </c>
      <c r="F12" s="12">
        <f>Total!E130</f>
        <v>0</v>
      </c>
      <c r="G12" s="165">
        <f>Total!F130</f>
        <v>21247.55</v>
      </c>
      <c r="H12" s="165">
        <f>Total!G130</f>
        <v>0</v>
      </c>
      <c r="I12" s="165">
        <f>Total!H130</f>
        <v>59149.54</v>
      </c>
      <c r="J12" s="165">
        <f>Total!I130</f>
        <v>0</v>
      </c>
      <c r="K12" s="165">
        <f>Total!J130</f>
        <v>86222.01</v>
      </c>
      <c r="L12" s="165">
        <f>Total!K130</f>
        <v>0</v>
      </c>
      <c r="M12" s="165">
        <f>Total!L130</f>
        <v>166619.09999999998</v>
      </c>
      <c r="N12" s="165">
        <f>Total!M130</f>
        <v>248230.9</v>
      </c>
      <c r="O12" s="165">
        <f>Total!N130</f>
        <v>81611.800000000017</v>
      </c>
    </row>
    <row r="13" spans="1:15" s="13" customFormat="1" ht="16.5" customHeight="1" x14ac:dyDescent="0.25">
      <c r="A13" s="188" t="s">
        <v>47</v>
      </c>
      <c r="B13" s="189"/>
      <c r="C13" s="12">
        <f>Total!B161</f>
        <v>0</v>
      </c>
      <c r="D13" s="12">
        <f>Total!C161</f>
        <v>0</v>
      </c>
      <c r="E13" s="12">
        <f>Total!D161</f>
        <v>0</v>
      </c>
      <c r="F13" s="12">
        <f>Total!E161</f>
        <v>0</v>
      </c>
      <c r="G13" s="165">
        <f>Total!F161</f>
        <v>14118.9</v>
      </c>
      <c r="H13" s="165">
        <f>Total!G161</f>
        <v>0</v>
      </c>
      <c r="I13" s="165">
        <f>Total!H161</f>
        <v>30875.79</v>
      </c>
      <c r="J13" s="165">
        <f>Total!I161</f>
        <v>0</v>
      </c>
      <c r="K13" s="165">
        <f>Total!J161</f>
        <v>59366.48</v>
      </c>
      <c r="L13" s="165">
        <f>Total!K161</f>
        <v>0</v>
      </c>
      <c r="M13" s="165">
        <f>Total!L161</f>
        <v>104361.17000000001</v>
      </c>
      <c r="N13" s="165">
        <f>Total!M161</f>
        <v>121060.31</v>
      </c>
      <c r="O13" s="165">
        <f>Total!N161</f>
        <v>16699.139999999985</v>
      </c>
    </row>
    <row r="14" spans="1:15" s="13" customFormat="1" ht="16.5" customHeight="1" x14ac:dyDescent="0.25">
      <c r="A14" s="188" t="s">
        <v>48</v>
      </c>
      <c r="B14" s="189"/>
      <c r="C14" s="12">
        <f>Total!B192</f>
        <v>7</v>
      </c>
      <c r="D14" s="12">
        <f>Total!C192</f>
        <v>81</v>
      </c>
      <c r="E14" s="12">
        <f>Total!D192</f>
        <v>3</v>
      </c>
      <c r="F14" s="12">
        <f>Total!E192</f>
        <v>6</v>
      </c>
      <c r="G14" s="165">
        <f>Total!F192</f>
        <v>0</v>
      </c>
      <c r="H14" s="165">
        <f>Total!G192</f>
        <v>0</v>
      </c>
      <c r="I14" s="165">
        <f>Total!H192</f>
        <v>0</v>
      </c>
      <c r="J14" s="165">
        <f>Total!I192</f>
        <v>0</v>
      </c>
      <c r="K14" s="165">
        <f>Total!J192</f>
        <v>0</v>
      </c>
      <c r="L14" s="165">
        <f>Total!K192</f>
        <v>0</v>
      </c>
      <c r="M14" s="165">
        <f>Total!L192</f>
        <v>0</v>
      </c>
      <c r="N14" s="165">
        <f>Total!M192</f>
        <v>250150.25</v>
      </c>
      <c r="O14" s="165">
        <f>Total!N192</f>
        <v>250150.25</v>
      </c>
    </row>
    <row r="15" spans="1:15" s="13" customFormat="1" ht="16.5" customHeight="1" x14ac:dyDescent="0.25">
      <c r="A15" s="188" t="s">
        <v>49</v>
      </c>
      <c r="B15" s="189"/>
      <c r="C15" s="12">
        <f>Total!B223</f>
        <v>0</v>
      </c>
      <c r="D15" s="12">
        <f>Total!C223</f>
        <v>48</v>
      </c>
      <c r="E15" s="12">
        <f>Total!D223</f>
        <v>0</v>
      </c>
      <c r="F15" s="12">
        <f>Total!E223</f>
        <v>2</v>
      </c>
      <c r="G15" s="165">
        <f>Total!F223</f>
        <v>0</v>
      </c>
      <c r="H15" s="165">
        <f>Total!G223</f>
        <v>0</v>
      </c>
      <c r="I15" s="165">
        <f>Total!H223</f>
        <v>0</v>
      </c>
      <c r="J15" s="165">
        <f>Total!I223</f>
        <v>0</v>
      </c>
      <c r="K15" s="165">
        <f>Total!J223</f>
        <v>0</v>
      </c>
      <c r="L15" s="165">
        <f>Total!K223</f>
        <v>0</v>
      </c>
      <c r="M15" s="165">
        <f>Total!L223</f>
        <v>0</v>
      </c>
      <c r="N15" s="165">
        <f>Total!M223</f>
        <v>148438.62</v>
      </c>
      <c r="O15" s="165">
        <f>Total!N223</f>
        <v>148438.62</v>
      </c>
    </row>
    <row r="16" spans="1:15" s="13" customFormat="1" ht="16.5" customHeight="1" x14ac:dyDescent="0.25">
      <c r="A16" s="188" t="s">
        <v>50</v>
      </c>
      <c r="B16" s="189"/>
      <c r="C16" s="12">
        <f>Total!B254</f>
        <v>0</v>
      </c>
      <c r="D16" s="12">
        <f>Total!C254</f>
        <v>50</v>
      </c>
      <c r="E16" s="12">
        <f>Total!D254</f>
        <v>0</v>
      </c>
      <c r="F16" s="12">
        <f>Total!E254</f>
        <v>2</v>
      </c>
      <c r="G16" s="165">
        <f>Total!F254</f>
        <v>0</v>
      </c>
      <c r="H16" s="165">
        <f>Total!G254</f>
        <v>0</v>
      </c>
      <c r="I16" s="165">
        <f>Total!H254</f>
        <v>0</v>
      </c>
      <c r="J16" s="165">
        <f>Total!I254</f>
        <v>0</v>
      </c>
      <c r="K16" s="165">
        <f>Total!J254</f>
        <v>0</v>
      </c>
      <c r="L16" s="165">
        <f>Total!K254</f>
        <v>0</v>
      </c>
      <c r="M16" s="165">
        <f>Total!L254</f>
        <v>0</v>
      </c>
      <c r="N16" s="165">
        <f>Total!M254</f>
        <v>130853.52</v>
      </c>
      <c r="O16" s="165">
        <f>Total!N254</f>
        <v>130853.52</v>
      </c>
    </row>
    <row r="17" spans="1:15" s="13" customFormat="1" ht="16.5" customHeight="1" x14ac:dyDescent="0.25">
      <c r="A17" s="188" t="s">
        <v>51</v>
      </c>
      <c r="B17" s="189"/>
      <c r="C17" s="12">
        <f>Total!B285</f>
        <v>0</v>
      </c>
      <c r="D17" s="12">
        <f>Total!C285</f>
        <v>52</v>
      </c>
      <c r="E17" s="12">
        <f>Total!D285</f>
        <v>1</v>
      </c>
      <c r="F17" s="12">
        <f>Total!E285</f>
        <v>0</v>
      </c>
      <c r="G17" s="165">
        <f>Total!F285</f>
        <v>0</v>
      </c>
      <c r="H17" s="165">
        <f>Total!G285</f>
        <v>0</v>
      </c>
      <c r="I17" s="165">
        <f>Total!H285</f>
        <v>0</v>
      </c>
      <c r="J17" s="165">
        <f>Total!I285</f>
        <v>0</v>
      </c>
      <c r="K17" s="165">
        <f>Total!J285</f>
        <v>0</v>
      </c>
      <c r="L17" s="165">
        <f>Total!K285</f>
        <v>0</v>
      </c>
      <c r="M17" s="165">
        <f>Total!L285</f>
        <v>0</v>
      </c>
      <c r="N17" s="165">
        <f>Total!M285</f>
        <v>141992.93</v>
      </c>
      <c r="O17" s="165">
        <f>Total!N285</f>
        <v>141992.93</v>
      </c>
    </row>
    <row r="18" spans="1:15" s="13" customFormat="1" ht="16.5" customHeight="1" x14ac:dyDescent="0.25">
      <c r="A18" s="188" t="s">
        <v>53</v>
      </c>
      <c r="B18" s="189"/>
      <c r="C18" s="12">
        <f>Total!B316</f>
        <v>0</v>
      </c>
      <c r="D18" s="12">
        <f>Total!C316</f>
        <v>59</v>
      </c>
      <c r="E18" s="12">
        <f>Total!D316</f>
        <v>0</v>
      </c>
      <c r="F18" s="12">
        <f>Total!E316</f>
        <v>1</v>
      </c>
      <c r="G18" s="165">
        <f>Total!F316</f>
        <v>0</v>
      </c>
      <c r="H18" s="165">
        <f>Total!G316</f>
        <v>0</v>
      </c>
      <c r="I18" s="165">
        <f>Total!H316</f>
        <v>0</v>
      </c>
      <c r="J18" s="165">
        <f>Total!I316</f>
        <v>0</v>
      </c>
      <c r="K18" s="165">
        <f>Total!J316</f>
        <v>0</v>
      </c>
      <c r="L18" s="165">
        <f>Total!K316</f>
        <v>0</v>
      </c>
      <c r="M18" s="165">
        <f>Total!L316</f>
        <v>0</v>
      </c>
      <c r="N18" s="165">
        <f>Total!M316</f>
        <v>134999</v>
      </c>
      <c r="O18" s="165">
        <f>Total!N316</f>
        <v>134999</v>
      </c>
    </row>
    <row r="19" spans="1:15" s="13" customFormat="1" ht="16.5" customHeight="1" thickBot="1" x14ac:dyDescent="0.3">
      <c r="A19" s="188" t="s">
        <v>54</v>
      </c>
      <c r="B19" s="189"/>
      <c r="C19" s="12">
        <f>Total!B347</f>
        <v>0</v>
      </c>
      <c r="D19" s="12">
        <f>Total!C347</f>
        <v>0</v>
      </c>
      <c r="E19" s="12">
        <f>Total!D347</f>
        <v>0</v>
      </c>
      <c r="F19" s="12">
        <f>Total!E347</f>
        <v>0</v>
      </c>
      <c r="G19" s="165">
        <f>Total!F347</f>
        <v>0</v>
      </c>
      <c r="H19" s="165">
        <f>Total!G347</f>
        <v>0</v>
      </c>
      <c r="I19" s="165">
        <f>Total!H347</f>
        <v>0</v>
      </c>
      <c r="J19" s="165">
        <f>Total!I347</f>
        <v>0</v>
      </c>
      <c r="K19" s="165">
        <f>Total!J347</f>
        <v>0</v>
      </c>
      <c r="L19" s="165">
        <f>Total!K347</f>
        <v>0</v>
      </c>
      <c r="M19" s="165">
        <f>Total!L347</f>
        <v>0</v>
      </c>
      <c r="N19" s="165">
        <f>Total!M347</f>
        <v>0</v>
      </c>
      <c r="O19" s="165">
        <f>Total!N347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7</v>
      </c>
      <c r="D20" s="17">
        <f t="shared" si="0"/>
        <v>290</v>
      </c>
      <c r="E20" s="17">
        <f t="shared" si="0"/>
        <v>4</v>
      </c>
      <c r="F20" s="17">
        <f t="shared" si="0"/>
        <v>11</v>
      </c>
      <c r="G20" s="18">
        <f t="shared" si="0"/>
        <v>120016.99999999999</v>
      </c>
      <c r="H20" s="18">
        <f t="shared" si="0"/>
        <v>0</v>
      </c>
      <c r="I20" s="18">
        <f t="shared" si="0"/>
        <v>203709.68</v>
      </c>
      <c r="J20" s="18">
        <f t="shared" si="0"/>
        <v>0</v>
      </c>
      <c r="K20" s="18">
        <f t="shared" si="0"/>
        <v>441422.11</v>
      </c>
      <c r="L20" s="18">
        <f t="shared" si="0"/>
        <v>0</v>
      </c>
      <c r="M20" s="18">
        <f t="shared" si="0"/>
        <v>765148.79</v>
      </c>
      <c r="N20" s="18">
        <f t="shared" si="0"/>
        <v>1746188.53</v>
      </c>
      <c r="O20" s="30">
        <f t="shared" si="0"/>
        <v>981039.74</v>
      </c>
    </row>
    <row r="24" spans="1:15" x14ac:dyDescent="0.25">
      <c r="B24" t="s">
        <v>73</v>
      </c>
      <c r="C24" s="20"/>
      <c r="G24" s="20">
        <f>SUM(C20:E20)</f>
        <v>301</v>
      </c>
      <c r="H24" s="20">
        <f>G24-J5</f>
        <v>-484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78740157480314965" header="0.31496062992125978" footer="0.31496062992125978"/>
  <pageSetup paperSize="9" scale="84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6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57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1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convenio'!$O$9</f>
        <v>72</v>
      </c>
      <c r="H5" s="191" t="s">
        <v>65</v>
      </c>
      <c r="I5" s="173"/>
      <c r="J5" s="61">
        <f>'[3]intern. diaria convenio'!$O$55</f>
        <v>75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Total!B9</f>
        <v>0</v>
      </c>
      <c r="D8" s="12">
        <f>Total!C9</f>
        <v>0</v>
      </c>
      <c r="E8" s="12">
        <f>Total!D9</f>
        <v>0</v>
      </c>
      <c r="F8" s="12">
        <f>Total!E9</f>
        <v>0</v>
      </c>
      <c r="G8" s="46">
        <f>Total!F9</f>
        <v>2591.63</v>
      </c>
      <c r="H8" s="15">
        <f>Total!G9</f>
        <v>16234.24</v>
      </c>
      <c r="I8" s="46">
        <f>Total!H9</f>
        <v>5030.55</v>
      </c>
      <c r="J8" s="15">
        <f>Total!I9</f>
        <v>7830</v>
      </c>
      <c r="K8" s="46">
        <f>Total!J9</f>
        <v>13694.47</v>
      </c>
      <c r="L8" s="15">
        <f>Total!K9</f>
        <v>25615.68</v>
      </c>
      <c r="M8" s="27">
        <f>Total!L9</f>
        <v>21316.65</v>
      </c>
      <c r="N8" s="27">
        <f>Total!M9</f>
        <v>33545</v>
      </c>
      <c r="O8" s="52">
        <f>Total!N9</f>
        <v>12228.349999999999</v>
      </c>
    </row>
    <row r="9" spans="1:15" s="13" customFormat="1" ht="16.5" customHeight="1" x14ac:dyDescent="0.25">
      <c r="A9" s="188" t="s">
        <v>43</v>
      </c>
      <c r="B9" s="189"/>
      <c r="C9" s="12">
        <f>Total!B40</f>
        <v>0</v>
      </c>
      <c r="D9" s="12">
        <f>Total!C40</f>
        <v>0</v>
      </c>
      <c r="E9" s="12">
        <f>Total!D40</f>
        <v>0</v>
      </c>
      <c r="F9" s="12">
        <f>Total!E40</f>
        <v>0</v>
      </c>
      <c r="G9" s="47">
        <f>Total!F40</f>
        <v>342.83</v>
      </c>
      <c r="H9" s="15">
        <f>Total!G40</f>
        <v>2070.29</v>
      </c>
      <c r="I9" s="47">
        <f>Total!H40</f>
        <v>558.95000000000005</v>
      </c>
      <c r="J9" s="15">
        <f>Total!I40</f>
        <v>300</v>
      </c>
      <c r="K9" s="47">
        <f>Total!J40</f>
        <v>2361.11</v>
      </c>
      <c r="L9" s="15">
        <f>Total!K40</f>
        <v>3273.85</v>
      </c>
      <c r="M9" s="27">
        <f>Total!L40</f>
        <v>3262.8900000000003</v>
      </c>
      <c r="N9" s="27">
        <f>Total!M40</f>
        <v>36515</v>
      </c>
      <c r="O9" s="52">
        <f>Total!N40</f>
        <v>33252.11</v>
      </c>
    </row>
    <row r="10" spans="1:15" s="13" customFormat="1" ht="16.5" customHeight="1" x14ac:dyDescent="0.25">
      <c r="A10" s="188" t="s">
        <v>44</v>
      </c>
      <c r="B10" s="189"/>
      <c r="C10" s="12">
        <f>Total!B71</f>
        <v>0</v>
      </c>
      <c r="D10" s="12">
        <f>Total!C71</f>
        <v>0</v>
      </c>
      <c r="E10" s="12">
        <f>Total!D71</f>
        <v>0</v>
      </c>
      <c r="F10" s="12">
        <f>Total!E71</f>
        <v>0</v>
      </c>
      <c r="G10" s="47">
        <f>Total!F71</f>
        <v>1280.8699999999999</v>
      </c>
      <c r="H10" s="15">
        <f>Total!G71</f>
        <v>7806.69</v>
      </c>
      <c r="I10" s="47">
        <f>Total!H71</f>
        <v>2235.8000000000002</v>
      </c>
      <c r="J10" s="15">
        <f>Total!I71</f>
        <v>1800</v>
      </c>
      <c r="K10" s="47">
        <f>Total!J71</f>
        <v>6138.89</v>
      </c>
      <c r="L10" s="15">
        <f>Total!K71</f>
        <v>10786.85</v>
      </c>
      <c r="M10" s="27">
        <f>Total!L71</f>
        <v>9655.5600000000013</v>
      </c>
      <c r="N10" s="27">
        <f>Total!M71</f>
        <v>37165</v>
      </c>
      <c r="O10" s="52">
        <f>Total!N71</f>
        <v>27509.439999999999</v>
      </c>
    </row>
    <row r="11" spans="1:15" s="13" customFormat="1" ht="16.5" customHeight="1" x14ac:dyDescent="0.25">
      <c r="A11" s="188" t="s">
        <v>45</v>
      </c>
      <c r="B11" s="189"/>
      <c r="C11" s="12">
        <f>Total!B102</f>
        <v>0</v>
      </c>
      <c r="D11" s="12">
        <f>Total!C102</f>
        <v>0</v>
      </c>
      <c r="E11" s="12">
        <f>Total!D102</f>
        <v>0</v>
      </c>
      <c r="F11" s="12">
        <f>Total!E102</f>
        <v>0</v>
      </c>
      <c r="G11" s="47">
        <f>Total!F102</f>
        <v>853.92</v>
      </c>
      <c r="H11" s="15">
        <f>Total!G102</f>
        <v>5768.08</v>
      </c>
      <c r="I11" s="47">
        <f>Total!H102</f>
        <v>558.95000000000005</v>
      </c>
      <c r="J11" s="15">
        <f>Total!I102</f>
        <v>450</v>
      </c>
      <c r="K11" s="47">
        <f>Total!J102</f>
        <v>4250.01</v>
      </c>
      <c r="L11" s="15">
        <f>Total!K102</f>
        <v>8893.64</v>
      </c>
      <c r="M11" s="27">
        <f>Total!L102</f>
        <v>5662.88</v>
      </c>
      <c r="N11" s="27">
        <f>Total!M102</f>
        <v>38805</v>
      </c>
      <c r="O11" s="52">
        <f>Total!N102</f>
        <v>33142.120000000003</v>
      </c>
    </row>
    <row r="12" spans="1:15" s="13" customFormat="1" ht="16.5" customHeight="1" x14ac:dyDescent="0.25">
      <c r="A12" s="188" t="s">
        <v>46</v>
      </c>
      <c r="B12" s="189"/>
      <c r="C12" s="12">
        <f>Total!B133</f>
        <v>0</v>
      </c>
      <c r="D12" s="12">
        <f>Total!C133</f>
        <v>0</v>
      </c>
      <c r="E12" s="12">
        <f>Total!D133</f>
        <v>0</v>
      </c>
      <c r="F12" s="12">
        <f>Total!E133</f>
        <v>0</v>
      </c>
      <c r="G12" s="47">
        <f>Total!F133</f>
        <v>3393.34</v>
      </c>
      <c r="H12" s="15">
        <f>Total!G133</f>
        <v>22652.57</v>
      </c>
      <c r="I12" s="47">
        <f>Total!H133</f>
        <v>7266.35</v>
      </c>
      <c r="J12" s="15">
        <f>Total!I133</f>
        <v>6150</v>
      </c>
      <c r="K12" s="47">
        <f>Total!J133</f>
        <v>19361.13</v>
      </c>
      <c r="L12" s="15">
        <f>Total!K133</f>
        <v>39277.22</v>
      </c>
      <c r="M12" s="27">
        <f>Total!L133</f>
        <v>30020.82</v>
      </c>
      <c r="N12" s="27">
        <f>Total!M133</f>
        <v>37635</v>
      </c>
      <c r="O12" s="52">
        <f>Total!N133</f>
        <v>7614.18</v>
      </c>
    </row>
    <row r="13" spans="1:15" s="13" customFormat="1" ht="16.5" customHeight="1" x14ac:dyDescent="0.25">
      <c r="A13" s="188" t="s">
        <v>47</v>
      </c>
      <c r="B13" s="189"/>
      <c r="C13" s="12">
        <f>Total!B164</f>
        <v>0</v>
      </c>
      <c r="D13" s="12">
        <f>Total!C164</f>
        <v>0</v>
      </c>
      <c r="E13" s="12">
        <f>Total!D164</f>
        <v>0</v>
      </c>
      <c r="F13" s="12">
        <f>Total!E164</f>
        <v>0</v>
      </c>
      <c r="G13" s="47">
        <f>Total!F164</f>
        <v>2200.9699999999998</v>
      </c>
      <c r="H13" s="15">
        <f>Total!G164</f>
        <v>13970.95</v>
      </c>
      <c r="I13" s="47">
        <f>Total!H164</f>
        <v>3912.65</v>
      </c>
      <c r="J13" s="15">
        <f>Total!I164</f>
        <v>3150</v>
      </c>
      <c r="K13" s="47">
        <f>Total!J164</f>
        <v>8358.7099999999991</v>
      </c>
      <c r="L13" s="15">
        <f>Total!K164</f>
        <v>22928.12</v>
      </c>
      <c r="M13" s="27">
        <f>Total!L164</f>
        <v>14472.329999999998</v>
      </c>
      <c r="N13" s="27">
        <f>Total!M164</f>
        <v>40635</v>
      </c>
      <c r="O13" s="52">
        <f>Total!N164</f>
        <v>26162.670000000002</v>
      </c>
    </row>
    <row r="14" spans="1:15" s="13" customFormat="1" ht="16.5" customHeight="1" x14ac:dyDescent="0.25">
      <c r="A14" s="188" t="s">
        <v>48</v>
      </c>
      <c r="B14" s="189"/>
      <c r="C14" s="12">
        <f>Total!B195</f>
        <v>0</v>
      </c>
      <c r="D14" s="12">
        <f>Total!C195</f>
        <v>2</v>
      </c>
      <c r="E14" s="12">
        <f>Total!D195</f>
        <v>0</v>
      </c>
      <c r="F14" s="12">
        <f>Total!E195</f>
        <v>0</v>
      </c>
      <c r="G14" s="47">
        <f>Total!F195</f>
        <v>0</v>
      </c>
      <c r="H14" s="15">
        <f>Total!G195</f>
        <v>0</v>
      </c>
      <c r="I14" s="47">
        <f>Total!H195</f>
        <v>0</v>
      </c>
      <c r="J14" s="15">
        <f>Total!I195</f>
        <v>0</v>
      </c>
      <c r="K14" s="47">
        <f>Total!J195</f>
        <v>0</v>
      </c>
      <c r="L14" s="47">
        <f>Total!K195</f>
        <v>0</v>
      </c>
      <c r="M14" s="26">
        <f>Total!L195</f>
        <v>0</v>
      </c>
      <c r="N14" s="27">
        <f>Total!M195</f>
        <v>39640</v>
      </c>
      <c r="O14" s="52">
        <f>Total!N195</f>
        <v>39640</v>
      </c>
    </row>
    <row r="15" spans="1:15" s="13" customFormat="1" ht="16.5" customHeight="1" x14ac:dyDescent="0.25">
      <c r="A15" s="188" t="s">
        <v>49</v>
      </c>
      <c r="B15" s="189"/>
      <c r="C15" s="12">
        <f>Total!B226</f>
        <v>0</v>
      </c>
      <c r="D15" s="12">
        <f>Total!C226</f>
        <v>8</v>
      </c>
      <c r="E15" s="12">
        <f>Total!D226</f>
        <v>0</v>
      </c>
      <c r="F15" s="12">
        <f>Total!E226</f>
        <v>0</v>
      </c>
      <c r="G15" s="47">
        <f>Total!F226</f>
        <v>0</v>
      </c>
      <c r="H15" s="15">
        <f>Total!G226</f>
        <v>0</v>
      </c>
      <c r="I15" s="47">
        <f>Total!H226</f>
        <v>0</v>
      </c>
      <c r="J15" s="15">
        <f>Total!I226</f>
        <v>0</v>
      </c>
      <c r="K15" s="47">
        <f>Total!J226</f>
        <v>0</v>
      </c>
      <c r="L15" s="15">
        <f>Total!K226</f>
        <v>0</v>
      </c>
      <c r="M15" s="27">
        <f>Total!L226</f>
        <v>0</v>
      </c>
      <c r="N15" s="27">
        <f>Total!M226</f>
        <v>47232.97</v>
      </c>
      <c r="O15" s="52">
        <f>Total!N226</f>
        <v>47232.97</v>
      </c>
    </row>
    <row r="16" spans="1:15" s="13" customFormat="1" ht="16.5" customHeight="1" x14ac:dyDescent="0.25">
      <c r="A16" s="188" t="s">
        <v>50</v>
      </c>
      <c r="B16" s="189"/>
      <c r="C16" s="12">
        <f>Total!B257</f>
        <v>0</v>
      </c>
      <c r="D16" s="12">
        <f>Total!C257</f>
        <v>2</v>
      </c>
      <c r="E16" s="12">
        <f>Total!D257</f>
        <v>0</v>
      </c>
      <c r="F16" s="12">
        <f>Total!E257</f>
        <v>0</v>
      </c>
      <c r="G16" s="47">
        <f>Total!F257</f>
        <v>0</v>
      </c>
      <c r="H16" s="15">
        <f>Total!G257</f>
        <v>0</v>
      </c>
      <c r="I16" s="47">
        <f>Total!H257</f>
        <v>0</v>
      </c>
      <c r="J16" s="15">
        <f>Total!I257</f>
        <v>0</v>
      </c>
      <c r="K16" s="47">
        <f>Total!J257</f>
        <v>0</v>
      </c>
      <c r="L16" s="15">
        <f>Total!K257</f>
        <v>0</v>
      </c>
      <c r="M16" s="27">
        <f>Total!L257</f>
        <v>0</v>
      </c>
      <c r="N16" s="27">
        <f>Total!M257</f>
        <v>42056.36</v>
      </c>
      <c r="O16" s="52">
        <f>Total!N257</f>
        <v>42056.36</v>
      </c>
    </row>
    <row r="17" spans="1:15" s="13" customFormat="1" ht="16.5" customHeight="1" x14ac:dyDescent="0.25">
      <c r="A17" s="188" t="s">
        <v>51</v>
      </c>
      <c r="B17" s="189"/>
      <c r="C17" s="12">
        <f>Total!B288</f>
        <v>0</v>
      </c>
      <c r="D17" s="12">
        <f>Total!C288</f>
        <v>3</v>
      </c>
      <c r="E17" s="12">
        <f>Total!D288</f>
        <v>0</v>
      </c>
      <c r="F17" s="12">
        <f>Total!E288</f>
        <v>0</v>
      </c>
      <c r="G17" s="47">
        <f>Total!F288</f>
        <v>0</v>
      </c>
      <c r="H17" s="15">
        <f>Total!G288</f>
        <v>0</v>
      </c>
      <c r="I17" s="47">
        <f>Total!H288</f>
        <v>0</v>
      </c>
      <c r="J17" s="15">
        <f>Total!I288</f>
        <v>0</v>
      </c>
      <c r="K17" s="47">
        <f>Total!J288</f>
        <v>0</v>
      </c>
      <c r="L17" s="15">
        <f>Total!K288</f>
        <v>0</v>
      </c>
      <c r="M17" s="27">
        <f>Total!L288</f>
        <v>0</v>
      </c>
      <c r="N17" s="27">
        <f>Total!M288</f>
        <v>0</v>
      </c>
      <c r="O17" s="52">
        <f>Total!N288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Total!B319</f>
        <v>0</v>
      </c>
      <c r="D18" s="12">
        <f>Total!C319</f>
        <v>6</v>
      </c>
      <c r="E18" s="12">
        <f>Total!D319</f>
        <v>0</v>
      </c>
      <c r="F18" s="12">
        <f>Total!E319</f>
        <v>0</v>
      </c>
      <c r="G18" s="47">
        <f>Total!F319</f>
        <v>0</v>
      </c>
      <c r="H18" s="15">
        <f>Total!G319</f>
        <v>0</v>
      </c>
      <c r="I18" s="47">
        <f>Total!H319</f>
        <v>0</v>
      </c>
      <c r="J18" s="15">
        <f>Total!I319</f>
        <v>0</v>
      </c>
      <c r="K18" s="47">
        <f>Total!J319</f>
        <v>0</v>
      </c>
      <c r="L18" s="15">
        <f>Total!K319</f>
        <v>0</v>
      </c>
      <c r="M18" s="27">
        <f>Total!L319</f>
        <v>0</v>
      </c>
      <c r="N18" s="27">
        <f>Total!M319</f>
        <v>0</v>
      </c>
      <c r="O18" s="52">
        <f>Total!N319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Total!B350</f>
        <v>0</v>
      </c>
      <c r="D19" s="12">
        <f>Total!C350</f>
        <v>0</v>
      </c>
      <c r="E19" s="12">
        <f>Total!D350</f>
        <v>0</v>
      </c>
      <c r="F19" s="12">
        <f>Total!E350</f>
        <v>0</v>
      </c>
      <c r="G19" s="48">
        <f>Total!F350</f>
        <v>0</v>
      </c>
      <c r="H19" s="15">
        <f>Total!G350</f>
        <v>0</v>
      </c>
      <c r="I19" s="48">
        <f>Total!H350</f>
        <v>0</v>
      </c>
      <c r="J19" s="15">
        <f>Total!I350</f>
        <v>0</v>
      </c>
      <c r="K19" s="48">
        <f>Total!J350</f>
        <v>0</v>
      </c>
      <c r="L19" s="15">
        <f>Total!K350</f>
        <v>0</v>
      </c>
      <c r="M19" s="27">
        <f>Total!L350</f>
        <v>0</v>
      </c>
      <c r="N19" s="27">
        <f>Total!M350</f>
        <v>0</v>
      </c>
      <c r="O19" s="52">
        <f>Total!N350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21</v>
      </c>
      <c r="E20" s="17">
        <f t="shared" si="0"/>
        <v>0</v>
      </c>
      <c r="F20" s="17">
        <f t="shared" si="0"/>
        <v>0</v>
      </c>
      <c r="G20" s="18">
        <f t="shared" si="0"/>
        <v>10663.56</v>
      </c>
      <c r="H20" s="18">
        <f t="shared" si="0"/>
        <v>68502.819999999992</v>
      </c>
      <c r="I20" s="18">
        <f t="shared" si="0"/>
        <v>19563.25</v>
      </c>
      <c r="J20" s="18">
        <f t="shared" si="0"/>
        <v>19680</v>
      </c>
      <c r="K20" s="18">
        <f t="shared" si="0"/>
        <v>54164.32</v>
      </c>
      <c r="L20" s="18">
        <f t="shared" si="0"/>
        <v>110775.35999999999</v>
      </c>
      <c r="M20" s="18">
        <f t="shared" si="0"/>
        <v>84391.13</v>
      </c>
      <c r="N20" s="18">
        <f t="shared" si="0"/>
        <v>353229.32999999996</v>
      </c>
      <c r="O20" s="30">
        <f t="shared" si="0"/>
        <v>268838.2</v>
      </c>
    </row>
    <row r="24" spans="1:15" x14ac:dyDescent="0.25">
      <c r="C24" s="20"/>
      <c r="G24" s="20"/>
      <c r="H24" s="20"/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7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convenio'!$O$10</f>
        <v>28</v>
      </c>
      <c r="H5" s="191" t="s">
        <v>65</v>
      </c>
      <c r="I5" s="173"/>
      <c r="J5" s="61">
        <f>'[3]intern. diaria convenio'!$O$56</f>
        <v>176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Total!B10</f>
        <v>0</v>
      </c>
      <c r="D8" s="12">
        <f>Total!C10</f>
        <v>0</v>
      </c>
      <c r="E8" s="12">
        <f>Total!D10</f>
        <v>0</v>
      </c>
      <c r="F8" s="12">
        <f>Total!E10</f>
        <v>0</v>
      </c>
      <c r="G8" s="46">
        <f>Total!F10</f>
        <v>228.03</v>
      </c>
      <c r="H8" s="15">
        <f>Total!G10</f>
        <v>3278.68</v>
      </c>
      <c r="I8" s="46">
        <f>Total!H10</f>
        <v>3912.65</v>
      </c>
      <c r="J8" s="15">
        <f>Total!I10</f>
        <v>2190.13</v>
      </c>
      <c r="K8" s="46">
        <f>Total!J10</f>
        <v>887.92</v>
      </c>
      <c r="L8" s="15">
        <f>Total!K10</f>
        <v>1165.1300000000001</v>
      </c>
      <c r="M8" s="27">
        <f>Total!L10</f>
        <v>5028.6000000000004</v>
      </c>
      <c r="N8" s="27">
        <f>Total!M10</f>
        <v>6633.94</v>
      </c>
      <c r="O8" s="52">
        <f>Total!N10</f>
        <v>1605.3399999999992</v>
      </c>
    </row>
    <row r="9" spans="1:15" s="13" customFormat="1" ht="16.5" customHeight="1" x14ac:dyDescent="0.25">
      <c r="A9" s="188" t="s">
        <v>43</v>
      </c>
      <c r="B9" s="189"/>
      <c r="C9" s="12">
        <f>Total!B41</f>
        <v>0</v>
      </c>
      <c r="D9" s="12">
        <f>Total!C41</f>
        <v>0</v>
      </c>
      <c r="E9" s="12">
        <f>Total!D41</f>
        <v>0</v>
      </c>
      <c r="F9" s="12">
        <f>Total!E41</f>
        <v>0</v>
      </c>
      <c r="G9" s="47">
        <f>Total!F41</f>
        <v>2618.6</v>
      </c>
      <c r="H9" s="15">
        <f>Total!G41</f>
        <v>28264.23</v>
      </c>
      <c r="I9" s="47">
        <f>Total!H41</f>
        <v>8943.2000000000007</v>
      </c>
      <c r="J9" s="15">
        <f>Total!I41</f>
        <v>8605.76</v>
      </c>
      <c r="K9" s="47">
        <f>Total!J41</f>
        <v>22428.25</v>
      </c>
      <c r="L9" s="15">
        <f>Total!K41</f>
        <v>5380.58</v>
      </c>
      <c r="M9" s="27">
        <f>Total!L41</f>
        <v>33990.050000000003</v>
      </c>
      <c r="N9" s="27">
        <f>Total!M41</f>
        <v>42250.57</v>
      </c>
      <c r="O9" s="52">
        <f>Total!N41</f>
        <v>8260.5199999999968</v>
      </c>
    </row>
    <row r="10" spans="1:15" s="13" customFormat="1" ht="16.5" customHeight="1" x14ac:dyDescent="0.25">
      <c r="A10" s="188" t="s">
        <v>44</v>
      </c>
      <c r="B10" s="189"/>
      <c r="C10" s="12">
        <f>Total!B72</f>
        <v>0</v>
      </c>
      <c r="D10" s="12">
        <f>Total!C72</f>
        <v>0</v>
      </c>
      <c r="E10" s="12">
        <f>Total!D72</f>
        <v>0</v>
      </c>
      <c r="F10" s="12">
        <f>Total!E72</f>
        <v>0</v>
      </c>
      <c r="G10" s="47">
        <f>Total!F72</f>
        <v>7305.55</v>
      </c>
      <c r="H10" s="15">
        <f>Total!G72</f>
        <v>27949.64</v>
      </c>
      <c r="I10" s="47">
        <f>Total!H72</f>
        <v>8384.25</v>
      </c>
      <c r="J10" s="15">
        <f>Total!I72</f>
        <v>8067.9</v>
      </c>
      <c r="K10" s="47">
        <f>Total!J72</f>
        <v>1541.54</v>
      </c>
      <c r="L10" s="15">
        <f>Total!K72</f>
        <v>2149.6999999999998</v>
      </c>
      <c r="M10" s="27">
        <f>Total!L72</f>
        <v>17231.34</v>
      </c>
      <c r="N10" s="27">
        <f>Total!M72</f>
        <v>38167.24</v>
      </c>
      <c r="O10" s="52">
        <f>Total!N72</f>
        <v>20935.899999999998</v>
      </c>
    </row>
    <row r="11" spans="1:15" s="13" customFormat="1" ht="16.5" customHeight="1" x14ac:dyDescent="0.25">
      <c r="A11" s="188" t="s">
        <v>45</v>
      </c>
      <c r="B11" s="189"/>
      <c r="C11" s="12">
        <f>Total!B103</f>
        <v>0</v>
      </c>
      <c r="D11" s="12">
        <f>Total!C103</f>
        <v>0</v>
      </c>
      <c r="E11" s="12">
        <f>Total!D103</f>
        <v>0</v>
      </c>
      <c r="F11" s="12">
        <f>Total!E103</f>
        <v>0</v>
      </c>
      <c r="G11" s="47">
        <f>Total!F103</f>
        <v>0</v>
      </c>
      <c r="H11" s="15">
        <f>Total!G103</f>
        <v>0</v>
      </c>
      <c r="I11" s="47">
        <f>Total!H103</f>
        <v>0</v>
      </c>
      <c r="J11" s="15">
        <f>Total!I103</f>
        <v>0</v>
      </c>
      <c r="K11" s="47">
        <f>Total!J103</f>
        <v>0</v>
      </c>
      <c r="L11" s="15">
        <f>Total!K103</f>
        <v>0</v>
      </c>
      <c r="M11" s="27">
        <f>Total!L103</f>
        <v>0</v>
      </c>
      <c r="N11" s="27">
        <f>Total!M103</f>
        <v>0</v>
      </c>
      <c r="O11" s="52">
        <f>Total!N103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Total!B134</f>
        <v>0</v>
      </c>
      <c r="D12" s="12">
        <f>Total!C134</f>
        <v>0</v>
      </c>
      <c r="E12" s="12">
        <f>Total!D134</f>
        <v>0</v>
      </c>
      <c r="F12" s="12">
        <f>Total!E134</f>
        <v>0</v>
      </c>
      <c r="G12" s="47">
        <f>Total!F134</f>
        <v>6179.83</v>
      </c>
      <c r="H12" s="15">
        <f>Total!G134</f>
        <v>13720.48</v>
      </c>
      <c r="I12" s="47">
        <f>Total!H134</f>
        <v>3912.65</v>
      </c>
      <c r="J12" s="15">
        <f>Total!I134</f>
        <v>3500</v>
      </c>
      <c r="K12" s="47">
        <f>Total!J134</f>
        <v>769.57</v>
      </c>
      <c r="L12" s="15">
        <f>Total!K134</f>
        <v>973.38</v>
      </c>
      <c r="M12" s="27">
        <f>Total!L134</f>
        <v>10862.05</v>
      </c>
      <c r="N12" s="27">
        <f>Total!M134</f>
        <v>18193.86</v>
      </c>
      <c r="O12" s="52">
        <f>Total!N134</f>
        <v>7331.8100000000013</v>
      </c>
    </row>
    <row r="13" spans="1:15" s="13" customFormat="1" ht="16.5" customHeight="1" x14ac:dyDescent="0.25">
      <c r="A13" s="188" t="s">
        <v>47</v>
      </c>
      <c r="B13" s="189"/>
      <c r="C13" s="12">
        <f>Total!B165</f>
        <v>0</v>
      </c>
      <c r="D13" s="12">
        <f>Total!C165</f>
        <v>0</v>
      </c>
      <c r="E13" s="12">
        <f>Total!D165</f>
        <v>0</v>
      </c>
      <c r="F13" s="12">
        <f>Total!E165</f>
        <v>0</v>
      </c>
      <c r="G13" s="47">
        <f>Total!F165</f>
        <v>1289.5</v>
      </c>
      <c r="H13" s="15">
        <f>Total!G165</f>
        <v>11560.87</v>
      </c>
      <c r="I13" s="47">
        <f>Total!H165</f>
        <v>7266.35</v>
      </c>
      <c r="J13" s="15">
        <f>Total!I165</f>
        <v>6248</v>
      </c>
      <c r="K13" s="47">
        <f>Total!J165</f>
        <v>1832.37</v>
      </c>
      <c r="L13" s="15">
        <f>Total!K165</f>
        <v>1771.11</v>
      </c>
      <c r="M13" s="27">
        <f>Total!L165</f>
        <v>10388.220000000001</v>
      </c>
      <c r="N13" s="27">
        <f>Total!M165</f>
        <v>19579.980000000003</v>
      </c>
      <c r="O13" s="52">
        <f>Total!N165</f>
        <v>9191.760000000002</v>
      </c>
    </row>
    <row r="14" spans="1:15" s="13" customFormat="1" ht="16.5" customHeight="1" x14ac:dyDescent="0.25">
      <c r="A14" s="188" t="s">
        <v>48</v>
      </c>
      <c r="B14" s="189"/>
      <c r="C14" s="12">
        <f>Total!B196</f>
        <v>20</v>
      </c>
      <c r="D14" s="12">
        <f>Total!C196</f>
        <v>1</v>
      </c>
      <c r="E14" s="12">
        <f>Total!D196</f>
        <v>0</v>
      </c>
      <c r="F14" s="12">
        <f>Total!E196</f>
        <v>0</v>
      </c>
      <c r="G14" s="47">
        <f>Total!F196</f>
        <v>0</v>
      </c>
      <c r="H14" s="15">
        <f>Total!G196</f>
        <v>0</v>
      </c>
      <c r="I14" s="47">
        <f>Total!H196</f>
        <v>0</v>
      </c>
      <c r="J14" s="15">
        <f>Total!I196</f>
        <v>0</v>
      </c>
      <c r="K14" s="47">
        <f>Total!J196</f>
        <v>0</v>
      </c>
      <c r="L14" s="47">
        <f>Total!K196</f>
        <v>0</v>
      </c>
      <c r="M14" s="26">
        <f>Total!L196</f>
        <v>0</v>
      </c>
      <c r="N14" s="27">
        <f>Total!M196</f>
        <v>0</v>
      </c>
      <c r="O14" s="52">
        <f>Total!N196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Total!B227</f>
        <v>10</v>
      </c>
      <c r="D15" s="12">
        <f>Total!C227</f>
        <v>0</v>
      </c>
      <c r="E15" s="12">
        <f>Total!D227</f>
        <v>0</v>
      </c>
      <c r="F15" s="12">
        <f>Total!E227</f>
        <v>7</v>
      </c>
      <c r="G15" s="47">
        <f>Total!F227</f>
        <v>0</v>
      </c>
      <c r="H15" s="15">
        <f>Total!G227</f>
        <v>0</v>
      </c>
      <c r="I15" s="47">
        <f>Total!H227</f>
        <v>0</v>
      </c>
      <c r="J15" s="15">
        <f>Total!I227</f>
        <v>0</v>
      </c>
      <c r="K15" s="47">
        <f>Total!J227</f>
        <v>0</v>
      </c>
      <c r="L15" s="15">
        <f>Total!K227</f>
        <v>0</v>
      </c>
      <c r="M15" s="27">
        <f>Total!L227</f>
        <v>0</v>
      </c>
      <c r="N15" s="27">
        <f>Total!M227</f>
        <v>0</v>
      </c>
      <c r="O15" s="52">
        <f>Total!N227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Total!B258</f>
        <v>11</v>
      </c>
      <c r="D16" s="12">
        <f>Total!C258</f>
        <v>0</v>
      </c>
      <c r="E16" s="12">
        <f>Total!D258</f>
        <v>0</v>
      </c>
      <c r="F16" s="12">
        <f>Total!E258</f>
        <v>0</v>
      </c>
      <c r="G16" s="47">
        <f>Total!F258</f>
        <v>0</v>
      </c>
      <c r="H16" s="15">
        <f>Total!G258</f>
        <v>0</v>
      </c>
      <c r="I16" s="47">
        <f>Total!H258</f>
        <v>0</v>
      </c>
      <c r="J16" s="15">
        <f>Total!I258</f>
        <v>0</v>
      </c>
      <c r="K16" s="47">
        <f>Total!J258</f>
        <v>0</v>
      </c>
      <c r="L16" s="15">
        <f>Total!K258</f>
        <v>0</v>
      </c>
      <c r="M16" s="27">
        <f>Total!L258</f>
        <v>0</v>
      </c>
      <c r="N16" s="27">
        <f>Total!M258</f>
        <v>0</v>
      </c>
      <c r="O16" s="52">
        <f>Total!N258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Total!B289</f>
        <v>10</v>
      </c>
      <c r="D17" s="12">
        <f>Total!C289</f>
        <v>1</v>
      </c>
      <c r="E17" s="12">
        <f>Total!D289</f>
        <v>0</v>
      </c>
      <c r="F17" s="12">
        <f>Total!E289</f>
        <v>0</v>
      </c>
      <c r="G17" s="47">
        <f>Total!F289</f>
        <v>0</v>
      </c>
      <c r="H17" s="15">
        <f>Total!G289</f>
        <v>0</v>
      </c>
      <c r="I17" s="47">
        <f>Total!H289</f>
        <v>0</v>
      </c>
      <c r="J17" s="15">
        <f>Total!I289</f>
        <v>0</v>
      </c>
      <c r="K17" s="47">
        <f>Total!J289</f>
        <v>0</v>
      </c>
      <c r="L17" s="15">
        <f>Total!K289</f>
        <v>0</v>
      </c>
      <c r="M17" s="27">
        <f>Total!L289</f>
        <v>0</v>
      </c>
      <c r="N17" s="27">
        <f>Total!M289</f>
        <v>0</v>
      </c>
      <c r="O17" s="52">
        <f>Total!N289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Total!B320</f>
        <v>2</v>
      </c>
      <c r="D18" s="12">
        <f>Total!C320</f>
        <v>0</v>
      </c>
      <c r="E18" s="12">
        <f>Total!D320</f>
        <v>0</v>
      </c>
      <c r="F18" s="12">
        <f>Total!E320</f>
        <v>0</v>
      </c>
      <c r="G18" s="47">
        <f>Total!F320</f>
        <v>0</v>
      </c>
      <c r="H18" s="15">
        <f>Total!G320</f>
        <v>0</v>
      </c>
      <c r="I18" s="47">
        <f>Total!H320</f>
        <v>0</v>
      </c>
      <c r="J18" s="15">
        <f>Total!I320</f>
        <v>0</v>
      </c>
      <c r="K18" s="47">
        <f>Total!J320</f>
        <v>0</v>
      </c>
      <c r="L18" s="15">
        <f>Total!K320</f>
        <v>0</v>
      </c>
      <c r="M18" s="27">
        <f>Total!L320</f>
        <v>0</v>
      </c>
      <c r="N18" s="27">
        <f>Total!M320</f>
        <v>0</v>
      </c>
      <c r="O18" s="52">
        <f>Total!N320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Total!B351</f>
        <v>0</v>
      </c>
      <c r="D19" s="12">
        <f>Total!C351</f>
        <v>0</v>
      </c>
      <c r="E19" s="12">
        <f>Total!D351</f>
        <v>0</v>
      </c>
      <c r="F19" s="12">
        <f>Total!E351</f>
        <v>0</v>
      </c>
      <c r="G19" s="48">
        <f>Total!F351</f>
        <v>0</v>
      </c>
      <c r="H19" s="15">
        <f>Total!G351</f>
        <v>0</v>
      </c>
      <c r="I19" s="48">
        <f>Total!H351</f>
        <v>0</v>
      </c>
      <c r="J19" s="15">
        <f>Total!I351</f>
        <v>0</v>
      </c>
      <c r="K19" s="48">
        <f>Total!J351</f>
        <v>0</v>
      </c>
      <c r="L19" s="15">
        <f>Total!K351</f>
        <v>0</v>
      </c>
      <c r="M19" s="27">
        <f>Total!L351</f>
        <v>0</v>
      </c>
      <c r="N19" s="27">
        <f>Total!M351</f>
        <v>0</v>
      </c>
      <c r="O19" s="52">
        <f>Total!N351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53</v>
      </c>
      <c r="D20" s="17">
        <f t="shared" si="0"/>
        <v>2</v>
      </c>
      <c r="E20" s="17">
        <f t="shared" si="0"/>
        <v>0</v>
      </c>
      <c r="F20" s="17">
        <f t="shared" si="0"/>
        <v>7</v>
      </c>
      <c r="G20" s="18">
        <f t="shared" si="0"/>
        <v>17621.510000000002</v>
      </c>
      <c r="H20" s="18">
        <f t="shared" si="0"/>
        <v>84773.9</v>
      </c>
      <c r="I20" s="18">
        <f t="shared" si="0"/>
        <v>32419.1</v>
      </c>
      <c r="J20" s="18">
        <f t="shared" si="0"/>
        <v>28611.79</v>
      </c>
      <c r="K20" s="18">
        <f t="shared" si="0"/>
        <v>27459.649999999998</v>
      </c>
      <c r="L20" s="18">
        <f t="shared" si="0"/>
        <v>11439.9</v>
      </c>
      <c r="M20" s="18">
        <f t="shared" si="0"/>
        <v>77500.260000000009</v>
      </c>
      <c r="N20" s="18">
        <f t="shared" si="0"/>
        <v>124825.59</v>
      </c>
      <c r="O20" s="30">
        <f t="shared" si="0"/>
        <v>47325.329999999994</v>
      </c>
    </row>
    <row r="24" spans="1:15" x14ac:dyDescent="0.25">
      <c r="B24" t="s">
        <v>73</v>
      </c>
      <c r="C24" s="20"/>
      <c r="G24" s="20">
        <f>SUM(C20:E20)</f>
        <v>55</v>
      </c>
      <c r="H24" s="20">
        <f>G24-J5</f>
        <v>-121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21">
    <tabColor rgb="FF00B050"/>
    <pageSetUpPr fitToPage="1"/>
  </sheetPr>
  <dimension ref="A1:O24"/>
  <sheetViews>
    <sheetView workbookViewId="0">
      <selection activeCell="D5" sqref="D5:F5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convenio'!$O$8</f>
        <v>19</v>
      </c>
      <c r="H5" s="191" t="s">
        <v>65</v>
      </c>
      <c r="I5" s="173"/>
      <c r="J5" s="61">
        <f>'[3]intern. diaria convenio'!$O$54</f>
        <v>96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Total!B11</f>
        <v>0</v>
      </c>
      <c r="D8" s="12">
        <f>Total!C11</f>
        <v>0</v>
      </c>
      <c r="E8" s="12">
        <f>Total!D11</f>
        <v>0</v>
      </c>
      <c r="F8" s="12">
        <f>Total!E11</f>
        <v>0</v>
      </c>
      <c r="G8" s="46">
        <f>Total!F11</f>
        <v>23.74</v>
      </c>
      <c r="H8" s="46">
        <f>Total!G11</f>
        <v>331.11</v>
      </c>
      <c r="I8" s="46">
        <f>Total!H11</f>
        <v>573.45000000000005</v>
      </c>
      <c r="J8" s="46">
        <f>Total!I11</f>
        <v>373.45</v>
      </c>
      <c r="K8" s="46">
        <f>Total!J11</f>
        <v>0</v>
      </c>
      <c r="L8" s="46">
        <f>Total!K11</f>
        <v>0</v>
      </c>
      <c r="M8" s="46">
        <f>Total!L11</f>
        <v>597.19000000000005</v>
      </c>
      <c r="N8" s="46">
        <f>Total!M11</f>
        <v>704.56</v>
      </c>
      <c r="O8" s="46">
        <f>Total!N11</f>
        <v>107.36999999999989</v>
      </c>
    </row>
    <row r="9" spans="1:15" s="13" customFormat="1" ht="16.5" customHeight="1" x14ac:dyDescent="0.25">
      <c r="A9" s="188" t="s">
        <v>43</v>
      </c>
      <c r="B9" s="189"/>
      <c r="C9" s="12">
        <f>Total!B42</f>
        <v>0</v>
      </c>
      <c r="D9" s="12">
        <f>Total!C42</f>
        <v>0</v>
      </c>
      <c r="E9" s="12">
        <f>Total!D42</f>
        <v>0</v>
      </c>
      <c r="F9" s="12">
        <f>Total!E42</f>
        <v>0</v>
      </c>
      <c r="G9" s="47">
        <f>Total!F12</f>
        <v>0</v>
      </c>
      <c r="H9" s="47">
        <f>Total!G12</f>
        <v>0</v>
      </c>
      <c r="I9" s="47">
        <f>Total!H12</f>
        <v>0</v>
      </c>
      <c r="J9" s="47">
        <f>Total!I12</f>
        <v>0</v>
      </c>
      <c r="K9" s="47">
        <f>Total!J12</f>
        <v>0</v>
      </c>
      <c r="L9" s="47">
        <f>Total!K12</f>
        <v>0</v>
      </c>
      <c r="M9" s="47">
        <f>Total!L12</f>
        <v>0</v>
      </c>
      <c r="N9" s="47">
        <f>Total!M12</f>
        <v>0</v>
      </c>
      <c r="O9" s="47">
        <f>Total!N12</f>
        <v>0</v>
      </c>
    </row>
    <row r="10" spans="1:15" s="13" customFormat="1" ht="16.5" customHeight="1" x14ac:dyDescent="0.25">
      <c r="A10" s="188" t="s">
        <v>44</v>
      </c>
      <c r="B10" s="189"/>
      <c r="C10" s="12">
        <f>Total!B73</f>
        <v>0</v>
      </c>
      <c r="D10" s="12">
        <f>Total!C73</f>
        <v>0</v>
      </c>
      <c r="E10" s="12">
        <f>Total!D73</f>
        <v>0</v>
      </c>
      <c r="F10" s="12">
        <f>Total!E73</f>
        <v>0</v>
      </c>
      <c r="G10" s="47">
        <f>Total!F13</f>
        <v>28398.98</v>
      </c>
      <c r="H10" s="47">
        <f>Total!G13</f>
        <v>178239.55</v>
      </c>
      <c r="I10" s="47">
        <f>Total!H13</f>
        <v>104095.7</v>
      </c>
      <c r="J10" s="47">
        <f>Total!I13</f>
        <v>45377.24</v>
      </c>
      <c r="K10" s="47">
        <f>Total!J13</f>
        <v>77955.839999999997</v>
      </c>
      <c r="L10" s="47">
        <f>Total!K13</f>
        <v>24775.21</v>
      </c>
      <c r="M10" s="47">
        <f>Total!L13</f>
        <v>210450.52</v>
      </c>
      <c r="N10" s="47">
        <f>Total!M13</f>
        <v>248391.99999999997</v>
      </c>
      <c r="O10" s="47">
        <f>Total!N13</f>
        <v>37941.479999999981</v>
      </c>
    </row>
    <row r="11" spans="1:15" s="13" customFormat="1" ht="16.5" customHeight="1" x14ac:dyDescent="0.25">
      <c r="A11" s="188" t="s">
        <v>45</v>
      </c>
      <c r="B11" s="189"/>
      <c r="C11" s="12">
        <f>Total!B104</f>
        <v>0</v>
      </c>
      <c r="D11" s="12">
        <f>Total!C104</f>
        <v>0</v>
      </c>
      <c r="E11" s="12">
        <f>Total!D104</f>
        <v>0</v>
      </c>
      <c r="F11" s="12">
        <f>Total!E104</f>
        <v>0</v>
      </c>
      <c r="G11" s="47">
        <f>Total!F14</f>
        <v>0</v>
      </c>
      <c r="H11" s="47">
        <f>Total!G14</f>
        <v>0</v>
      </c>
      <c r="I11" s="47">
        <f>Total!H14</f>
        <v>0</v>
      </c>
      <c r="J11" s="47">
        <f>Total!I14</f>
        <v>0</v>
      </c>
      <c r="K11" s="47">
        <f>Total!J14</f>
        <v>0</v>
      </c>
      <c r="L11" s="47">
        <f>Total!K14</f>
        <v>0</v>
      </c>
      <c r="M11" s="47">
        <f>Total!L14</f>
        <v>0</v>
      </c>
      <c r="N11" s="47">
        <f>Total!M14</f>
        <v>0</v>
      </c>
      <c r="O11" s="47">
        <f>Total!N14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Total!B135</f>
        <v>0</v>
      </c>
      <c r="D12" s="12">
        <f>Total!C135</f>
        <v>0</v>
      </c>
      <c r="E12" s="12">
        <f>Total!D135</f>
        <v>0</v>
      </c>
      <c r="F12" s="12">
        <f>Total!E135</f>
        <v>0</v>
      </c>
      <c r="G12" s="47">
        <f>Total!F15</f>
        <v>0</v>
      </c>
      <c r="H12" s="47">
        <f>Total!G15</f>
        <v>0</v>
      </c>
      <c r="I12" s="47">
        <f>Total!H15</f>
        <v>0</v>
      </c>
      <c r="J12" s="47">
        <f>Total!I15</f>
        <v>0</v>
      </c>
      <c r="K12" s="47">
        <f>Total!J15</f>
        <v>0</v>
      </c>
      <c r="L12" s="47">
        <f>Total!K15</f>
        <v>0</v>
      </c>
      <c r="M12" s="47">
        <f>Total!L15</f>
        <v>0</v>
      </c>
      <c r="N12" s="47">
        <f>Total!M15</f>
        <v>0</v>
      </c>
      <c r="O12" s="47">
        <f>Total!N15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Total!B146</f>
        <v>0</v>
      </c>
      <c r="D13" s="12">
        <f>Total!C146</f>
        <v>0</v>
      </c>
      <c r="E13" s="12">
        <f>Total!D146</f>
        <v>0</v>
      </c>
      <c r="F13" s="12">
        <f>Total!E146</f>
        <v>0</v>
      </c>
      <c r="G13" s="47">
        <f>Total!F16</f>
        <v>8805.24</v>
      </c>
      <c r="H13" s="47">
        <f>Total!G16</f>
        <v>36537.54</v>
      </c>
      <c r="I13" s="47">
        <f>Total!H16</f>
        <v>13104.25</v>
      </c>
      <c r="J13" s="47">
        <f>Total!I16</f>
        <v>7874.28</v>
      </c>
      <c r="K13" s="47">
        <f>Total!J16</f>
        <v>887.92</v>
      </c>
      <c r="L13" s="47">
        <f>Total!K16</f>
        <v>1181.32</v>
      </c>
      <c r="M13" s="47">
        <f>Total!L16</f>
        <v>22797.409999999996</v>
      </c>
      <c r="N13" s="47">
        <f>Total!M16</f>
        <v>45593.14</v>
      </c>
      <c r="O13" s="47">
        <f>Total!N16</f>
        <v>22795.730000000003</v>
      </c>
    </row>
    <row r="14" spans="1:15" s="13" customFormat="1" ht="16.5" customHeight="1" x14ac:dyDescent="0.25">
      <c r="A14" s="188" t="s">
        <v>48</v>
      </c>
      <c r="B14" s="189"/>
      <c r="C14" s="12">
        <f>Total!B177</f>
        <v>0</v>
      </c>
      <c r="D14" s="12">
        <f>Total!C177</f>
        <v>0</v>
      </c>
      <c r="E14" s="12">
        <f>Total!D177</f>
        <v>0</v>
      </c>
      <c r="F14" s="12">
        <f>Total!E177</f>
        <v>0</v>
      </c>
      <c r="G14" s="47">
        <f>Total!F17</f>
        <v>5000</v>
      </c>
      <c r="H14" s="47">
        <f>Total!G17</f>
        <v>3695</v>
      </c>
      <c r="I14" s="47">
        <f>Total!H17</f>
        <v>0</v>
      </c>
      <c r="J14" s="47">
        <f>Total!I17</f>
        <v>0</v>
      </c>
      <c r="K14" s="47">
        <f>Total!J17</f>
        <v>0</v>
      </c>
      <c r="L14" s="47">
        <f>Total!K17</f>
        <v>0</v>
      </c>
      <c r="M14" s="47">
        <f>Total!L17</f>
        <v>5000</v>
      </c>
      <c r="N14" s="47">
        <f>Total!M17</f>
        <v>3695</v>
      </c>
      <c r="O14" s="47">
        <f>Total!N17</f>
        <v>-1305</v>
      </c>
    </row>
    <row r="15" spans="1:15" s="13" customFormat="1" ht="16.5" customHeight="1" x14ac:dyDescent="0.25">
      <c r="A15" s="188" t="s">
        <v>49</v>
      </c>
      <c r="B15" s="189"/>
      <c r="C15" s="12">
        <f>Total!B208</f>
        <v>0</v>
      </c>
      <c r="D15" s="12">
        <f>Total!C208</f>
        <v>0</v>
      </c>
      <c r="E15" s="12">
        <f>Total!D208</f>
        <v>0</v>
      </c>
      <c r="F15" s="12">
        <f>Total!E208</f>
        <v>0</v>
      </c>
      <c r="G15" s="47">
        <f>Total!F18</f>
        <v>563440.48</v>
      </c>
      <c r="H15" s="47">
        <f>Total!G18</f>
        <v>99896.3</v>
      </c>
      <c r="I15" s="47">
        <f>Total!H18</f>
        <v>467905.76</v>
      </c>
      <c r="J15" s="47">
        <f>Total!I18</f>
        <v>647539.13</v>
      </c>
      <c r="K15" s="47">
        <f>Total!J18</f>
        <v>49155.33</v>
      </c>
      <c r="L15" s="47">
        <f>Total!K18</f>
        <v>37808.160000000003</v>
      </c>
      <c r="M15" s="47">
        <f>Total!L18</f>
        <v>1080501.57</v>
      </c>
      <c r="N15" s="47">
        <f>Total!M18</f>
        <v>785243.59000000008</v>
      </c>
      <c r="O15" s="47">
        <f>Total!N18</f>
        <v>-295257.98</v>
      </c>
    </row>
    <row r="16" spans="1:15" s="13" customFormat="1" ht="16.5" customHeight="1" x14ac:dyDescent="0.25">
      <c r="A16" s="188" t="s">
        <v>50</v>
      </c>
      <c r="B16" s="189"/>
      <c r="C16" s="12">
        <f>Total!B239</f>
        <v>0</v>
      </c>
      <c r="D16" s="12">
        <f>Total!C239</f>
        <v>0</v>
      </c>
      <c r="E16" s="12">
        <f>Total!D239</f>
        <v>0</v>
      </c>
      <c r="F16" s="12">
        <f>Total!E239</f>
        <v>0</v>
      </c>
      <c r="G16" s="47">
        <f>Total!F19</f>
        <v>0</v>
      </c>
      <c r="H16" s="47">
        <f>Total!G19</f>
        <v>0</v>
      </c>
      <c r="I16" s="47">
        <f>Total!H19</f>
        <v>0</v>
      </c>
      <c r="J16" s="47">
        <f>Total!I19</f>
        <v>0</v>
      </c>
      <c r="K16" s="47">
        <f>Total!J19</f>
        <v>0</v>
      </c>
      <c r="L16" s="47">
        <f>Total!K19</f>
        <v>0</v>
      </c>
      <c r="M16" s="47">
        <f>Total!L19</f>
        <v>0</v>
      </c>
      <c r="N16" s="47">
        <f>Total!M19</f>
        <v>0</v>
      </c>
      <c r="O16" s="47">
        <f>Total!N19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Total!B270</f>
        <v>0</v>
      </c>
      <c r="D17" s="12">
        <f>Total!C270</f>
        <v>0</v>
      </c>
      <c r="E17" s="12">
        <f>Total!D270</f>
        <v>0</v>
      </c>
      <c r="F17" s="12">
        <f>Total!E270</f>
        <v>0</v>
      </c>
      <c r="G17" s="47">
        <f>Total!F20</f>
        <v>0</v>
      </c>
      <c r="H17" s="47">
        <f>Total!G20</f>
        <v>0</v>
      </c>
      <c r="I17" s="47">
        <f>Total!H20</f>
        <v>0</v>
      </c>
      <c r="J17" s="47">
        <f>Total!I20</f>
        <v>0</v>
      </c>
      <c r="K17" s="47">
        <f>Total!J20</f>
        <v>0</v>
      </c>
      <c r="L17" s="47">
        <f>Total!K20</f>
        <v>0</v>
      </c>
      <c r="M17" s="47">
        <f>Total!L20</f>
        <v>0</v>
      </c>
      <c r="N17" s="47">
        <f>Total!M20</f>
        <v>0</v>
      </c>
      <c r="O17" s="47">
        <f>Total!N20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Total!B301</f>
        <v>0</v>
      </c>
      <c r="D18" s="12">
        <f>Total!C301</f>
        <v>0</v>
      </c>
      <c r="E18" s="12">
        <f>Total!D301</f>
        <v>0</v>
      </c>
      <c r="F18" s="12">
        <f>Total!E301</f>
        <v>0</v>
      </c>
      <c r="G18" s="47">
        <f>Total!F21</f>
        <v>22149.98</v>
      </c>
      <c r="H18" s="47">
        <f>Total!G21</f>
        <v>49385.02</v>
      </c>
      <c r="I18" s="47">
        <f>Total!H21</f>
        <v>31881.200000000001</v>
      </c>
      <c r="J18" s="47">
        <f>Total!I21</f>
        <v>23571</v>
      </c>
      <c r="K18" s="47">
        <f>Total!J21</f>
        <v>34291.550000000003</v>
      </c>
      <c r="L18" s="47">
        <f>Total!K21</f>
        <v>32294.95</v>
      </c>
      <c r="M18" s="47">
        <f>Total!L21</f>
        <v>88322.73000000001</v>
      </c>
      <c r="N18" s="47">
        <f>Total!M21</f>
        <v>105250.96999999999</v>
      </c>
      <c r="O18" s="47">
        <f>Total!N21</f>
        <v>16928.239999999976</v>
      </c>
    </row>
    <row r="19" spans="1:15" s="13" customFormat="1" ht="16.5" customHeight="1" thickBot="1" x14ac:dyDescent="0.3">
      <c r="A19" s="188" t="s">
        <v>54</v>
      </c>
      <c r="B19" s="189"/>
      <c r="C19" s="12">
        <f>Total!B332</f>
        <v>0</v>
      </c>
      <c r="D19" s="12">
        <f>Total!C332</f>
        <v>0</v>
      </c>
      <c r="E19" s="12">
        <f>Total!D332</f>
        <v>0</v>
      </c>
      <c r="F19" s="12">
        <f>Total!E332</f>
        <v>0</v>
      </c>
      <c r="G19" s="48">
        <f>Total!F22</f>
        <v>0</v>
      </c>
      <c r="H19" s="48">
        <f>Total!G22</f>
        <v>0</v>
      </c>
      <c r="I19" s="48">
        <f>Total!H22</f>
        <v>0</v>
      </c>
      <c r="J19" s="48">
        <f>Total!I22</f>
        <v>0</v>
      </c>
      <c r="K19" s="48">
        <f>Total!J22</f>
        <v>0</v>
      </c>
      <c r="L19" s="48">
        <f>Total!K22</f>
        <v>0</v>
      </c>
      <c r="M19" s="48">
        <f>Total!L22</f>
        <v>0</v>
      </c>
      <c r="N19" s="48">
        <f>Total!M22</f>
        <v>0</v>
      </c>
      <c r="O19" s="48">
        <f>Total!N22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627818.41999999993</v>
      </c>
      <c r="H20" s="18">
        <f t="shared" si="0"/>
        <v>368084.52</v>
      </c>
      <c r="I20" s="18">
        <f t="shared" si="0"/>
        <v>617560.36</v>
      </c>
      <c r="J20" s="18">
        <f t="shared" si="0"/>
        <v>724735.1</v>
      </c>
      <c r="K20" s="18">
        <f t="shared" si="0"/>
        <v>162290.64000000001</v>
      </c>
      <c r="L20" s="18">
        <f t="shared" si="0"/>
        <v>96059.64</v>
      </c>
      <c r="M20" s="18">
        <f t="shared" si="0"/>
        <v>1407669.42</v>
      </c>
      <c r="N20" s="18">
        <f t="shared" si="0"/>
        <v>1188879.26</v>
      </c>
      <c r="O20" s="30">
        <f t="shared" si="0"/>
        <v>-218790.16000000003</v>
      </c>
    </row>
    <row r="24" spans="1:15" x14ac:dyDescent="0.25">
      <c r="B24" t="s">
        <v>73</v>
      </c>
      <c r="C24" s="20"/>
      <c r="G24" s="20">
        <f>SUM(C20:E20)</f>
        <v>0</v>
      </c>
      <c r="H24" s="20">
        <f>G24-J5</f>
        <v>-96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0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convenio'!$O$12</f>
        <v>70</v>
      </c>
      <c r="H5" s="191" t="s">
        <v>65</v>
      </c>
      <c r="I5" s="173"/>
      <c r="J5" s="61">
        <f>'[3]intern. diaria convenio'!$O$58</f>
        <v>649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52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Total!B13</f>
        <v>0</v>
      </c>
      <c r="D8" s="12">
        <f>Total!C13</f>
        <v>0</v>
      </c>
      <c r="E8" s="12">
        <f>Total!D13</f>
        <v>0</v>
      </c>
      <c r="F8" s="12">
        <f>Total!E13</f>
        <v>0</v>
      </c>
      <c r="G8" s="46">
        <f>Total!F13</f>
        <v>28398.98</v>
      </c>
      <c r="H8" s="15">
        <f>Total!G13</f>
        <v>178239.55</v>
      </c>
      <c r="I8" s="46">
        <f>Total!H13</f>
        <v>104095.7</v>
      </c>
      <c r="J8" s="15">
        <f>Total!I13</f>
        <v>45377.24</v>
      </c>
      <c r="K8" s="46">
        <f>Total!J13</f>
        <v>77955.839999999997</v>
      </c>
      <c r="L8" s="15">
        <f>Total!K13</f>
        <v>24775.21</v>
      </c>
      <c r="M8" s="27">
        <f>K8+I8+G8</f>
        <v>210450.52</v>
      </c>
      <c r="N8" s="27">
        <f>Total!M13</f>
        <v>248391.99999999997</v>
      </c>
      <c r="O8" s="52">
        <f>Total!N13</f>
        <v>37941.479999999981</v>
      </c>
    </row>
    <row r="9" spans="1:15" s="13" customFormat="1" ht="16.5" customHeight="1" x14ac:dyDescent="0.25">
      <c r="A9" s="188" t="s">
        <v>43</v>
      </c>
      <c r="B9" s="189"/>
      <c r="C9" s="12">
        <f>Total!B44</f>
        <v>0</v>
      </c>
      <c r="D9" s="12">
        <f>Total!C44</f>
        <v>0</v>
      </c>
      <c r="E9" s="12">
        <f>Total!D44</f>
        <v>0</v>
      </c>
      <c r="F9" s="12">
        <f>Total!E44</f>
        <v>0</v>
      </c>
      <c r="G9" s="47">
        <f>Total!F44</f>
        <v>45624.17</v>
      </c>
      <c r="H9" s="15">
        <f>Total!G44</f>
        <v>135206.32</v>
      </c>
      <c r="I9" s="47">
        <f>Total!H44</f>
        <v>70592.05</v>
      </c>
      <c r="J9" s="15">
        <f>Total!I44</f>
        <v>29278.84</v>
      </c>
      <c r="K9" s="47">
        <f>Total!J44</f>
        <v>73502.039999999994</v>
      </c>
      <c r="L9" s="15">
        <f>Total!K44</f>
        <v>24350.01</v>
      </c>
      <c r="M9" s="27">
        <f>Total!L44</f>
        <v>189718.26</v>
      </c>
      <c r="N9" s="27">
        <f>Total!M44</f>
        <v>188835.17</v>
      </c>
      <c r="O9" s="52">
        <f>Total!N44</f>
        <v>-883.08999999999651</v>
      </c>
    </row>
    <row r="10" spans="1:15" s="13" customFormat="1" ht="16.5" customHeight="1" x14ac:dyDescent="0.25">
      <c r="A10" s="188" t="s">
        <v>44</v>
      </c>
      <c r="B10" s="189"/>
      <c r="C10" s="12">
        <f>Total!B75</f>
        <v>0</v>
      </c>
      <c r="D10" s="12">
        <f>Total!C75</f>
        <v>0</v>
      </c>
      <c r="E10" s="12">
        <f>Total!D75</f>
        <v>0</v>
      </c>
      <c r="F10" s="12">
        <f>Total!E75</f>
        <v>0</v>
      </c>
      <c r="G10" s="47">
        <f>Total!F75</f>
        <v>47071.7</v>
      </c>
      <c r="H10" s="15">
        <f>Total!G75</f>
        <v>105103.89</v>
      </c>
      <c r="I10" s="47">
        <f>Total!H75</f>
        <v>36890.699999999997</v>
      </c>
      <c r="J10" s="15">
        <f>Total!I75</f>
        <v>15732</v>
      </c>
      <c r="K10" s="47">
        <f>Total!J75</f>
        <v>53692.18</v>
      </c>
      <c r="L10" s="15">
        <f>Total!K75</f>
        <v>22429.93</v>
      </c>
      <c r="M10" s="27">
        <f>Total!L75</f>
        <v>137654.57999999999</v>
      </c>
      <c r="N10" s="27">
        <f>Total!M75</f>
        <v>143265.82</v>
      </c>
      <c r="O10" s="52">
        <f>Total!N75</f>
        <v>5611.2400000000198</v>
      </c>
    </row>
    <row r="11" spans="1:15" s="13" customFormat="1" ht="16.5" customHeight="1" x14ac:dyDescent="0.25">
      <c r="A11" s="188" t="s">
        <v>45</v>
      </c>
      <c r="B11" s="189"/>
      <c r="C11" s="12">
        <f>Total!B106</f>
        <v>0</v>
      </c>
      <c r="D11" s="12">
        <f>Total!C106</f>
        <v>0</v>
      </c>
      <c r="E11" s="12">
        <f>Total!D106</f>
        <v>0</v>
      </c>
      <c r="F11" s="12">
        <f>Total!E106</f>
        <v>0</v>
      </c>
      <c r="G11" s="47">
        <f>Total!F106</f>
        <v>41734.01</v>
      </c>
      <c r="H11" s="15">
        <f>Total!G106</f>
        <v>73634.100000000006</v>
      </c>
      <c r="I11" s="47">
        <f>Total!H106</f>
        <v>34095.949999999997</v>
      </c>
      <c r="J11" s="15">
        <f>Total!I106</f>
        <v>14306</v>
      </c>
      <c r="K11" s="47">
        <f>Total!J106</f>
        <v>16776.28</v>
      </c>
      <c r="L11" s="15">
        <f>Total!K106</f>
        <v>14952.71</v>
      </c>
      <c r="M11" s="27">
        <f>Total!L106</f>
        <v>92606.239999999991</v>
      </c>
      <c r="N11" s="27">
        <f>Total!M106</f>
        <v>102892.81</v>
      </c>
      <c r="O11" s="52">
        <f>Total!N106</f>
        <v>10286.570000000007</v>
      </c>
    </row>
    <row r="12" spans="1:15" s="13" customFormat="1" ht="16.5" customHeight="1" x14ac:dyDescent="0.25">
      <c r="A12" s="188" t="s">
        <v>46</v>
      </c>
      <c r="B12" s="189"/>
      <c r="C12" s="12">
        <f>Total!B137</f>
        <v>0</v>
      </c>
      <c r="D12" s="12">
        <f>Total!C137</f>
        <v>0</v>
      </c>
      <c r="E12" s="12">
        <f>Total!D137</f>
        <v>0</v>
      </c>
      <c r="F12" s="12">
        <f>Total!E137</f>
        <v>0</v>
      </c>
      <c r="G12" s="47">
        <f>Total!F137</f>
        <v>189848.83</v>
      </c>
      <c r="H12" s="15">
        <f>Total!G137</f>
        <v>103593.43</v>
      </c>
      <c r="I12" s="47">
        <f>Total!H137</f>
        <v>55818.25</v>
      </c>
      <c r="J12" s="15">
        <f>Total!I137</f>
        <v>24019.56</v>
      </c>
      <c r="K12" s="47">
        <f>Total!J137</f>
        <v>26794.53</v>
      </c>
      <c r="L12" s="15">
        <f>Total!K137</f>
        <v>17955.52</v>
      </c>
      <c r="M12" s="27">
        <f>Total!L137</f>
        <v>272461.61</v>
      </c>
      <c r="N12" s="27">
        <f>Total!M137</f>
        <v>145568.50999999998</v>
      </c>
      <c r="O12" s="52">
        <f>Total!N137</f>
        <v>-126893.1</v>
      </c>
    </row>
    <row r="13" spans="1:15" s="13" customFormat="1" ht="16.5" customHeight="1" x14ac:dyDescent="0.25">
      <c r="A13" s="188" t="s">
        <v>47</v>
      </c>
      <c r="B13" s="189"/>
      <c r="C13" s="12">
        <f>Total!B168</f>
        <v>0</v>
      </c>
      <c r="D13" s="12">
        <f>Total!C168</f>
        <v>0</v>
      </c>
      <c r="E13" s="12">
        <f>Total!D168</f>
        <v>0</v>
      </c>
      <c r="F13" s="12">
        <f>Total!E168</f>
        <v>0</v>
      </c>
      <c r="G13" s="47">
        <f>Total!F168</f>
        <v>30908.880000000001</v>
      </c>
      <c r="H13" s="15">
        <f>Total!G168</f>
        <v>107175.25</v>
      </c>
      <c r="I13" s="47">
        <f>Total!H168</f>
        <v>50393.1</v>
      </c>
      <c r="J13" s="15">
        <f>Total!I168</f>
        <v>21121.4</v>
      </c>
      <c r="K13" s="47">
        <f>Total!J168</f>
        <v>27666.78</v>
      </c>
      <c r="L13" s="15">
        <f>Total!K168</f>
        <v>10680.44</v>
      </c>
      <c r="M13" s="27">
        <f>Total!L168</f>
        <v>108968.76</v>
      </c>
      <c r="N13" s="27">
        <f>Total!M168</f>
        <v>138977.09</v>
      </c>
      <c r="O13" s="52">
        <f>Total!N168</f>
        <v>30008.33</v>
      </c>
    </row>
    <row r="14" spans="1:15" s="13" customFormat="1" ht="16.5" customHeight="1" x14ac:dyDescent="0.25">
      <c r="A14" s="188" t="s">
        <v>48</v>
      </c>
      <c r="B14" s="189"/>
      <c r="C14" s="12">
        <f>Total!B199</f>
        <v>45</v>
      </c>
      <c r="D14" s="12">
        <f>Total!C199</f>
        <v>0</v>
      </c>
      <c r="E14" s="12">
        <f>Total!D199</f>
        <v>0</v>
      </c>
      <c r="F14" s="12">
        <f>Total!E199</f>
        <v>0</v>
      </c>
      <c r="G14" s="47">
        <f>Total!F199</f>
        <v>0</v>
      </c>
      <c r="H14" s="15">
        <f>Total!G199</f>
        <v>0</v>
      </c>
      <c r="I14" s="47">
        <f>Total!H199</f>
        <v>0</v>
      </c>
      <c r="J14" s="15">
        <f>Total!I199</f>
        <v>0</v>
      </c>
      <c r="K14" s="47">
        <f>Total!J199</f>
        <v>0</v>
      </c>
      <c r="L14" s="47">
        <f>Total!K199</f>
        <v>0</v>
      </c>
      <c r="M14" s="26">
        <f>Total!L199</f>
        <v>0</v>
      </c>
      <c r="N14" s="27">
        <f>Total!M199</f>
        <v>0</v>
      </c>
      <c r="O14" s="52">
        <f>Total!N199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Total!B230</f>
        <v>69</v>
      </c>
      <c r="D15" s="12">
        <f>Total!C230</f>
        <v>0</v>
      </c>
      <c r="E15" s="12">
        <f>Total!D230</f>
        <v>0</v>
      </c>
      <c r="F15" s="12">
        <f>Total!E230</f>
        <v>0</v>
      </c>
      <c r="G15" s="47">
        <f>Total!F230</f>
        <v>0</v>
      </c>
      <c r="H15" s="15">
        <f>Total!G230</f>
        <v>0</v>
      </c>
      <c r="I15" s="47">
        <f>Total!H230</f>
        <v>0</v>
      </c>
      <c r="J15" s="15">
        <f>Total!I230</f>
        <v>0</v>
      </c>
      <c r="K15" s="47">
        <f>Total!J230</f>
        <v>0</v>
      </c>
      <c r="L15" s="15">
        <f>Total!K230</f>
        <v>0</v>
      </c>
      <c r="M15" s="27">
        <f>Total!L230</f>
        <v>0</v>
      </c>
      <c r="N15" s="27">
        <f>Total!M230</f>
        <v>0</v>
      </c>
      <c r="O15" s="52">
        <f>Total!N230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Total!B261</f>
        <v>44</v>
      </c>
      <c r="D16" s="12">
        <f>Total!C261</f>
        <v>0</v>
      </c>
      <c r="E16" s="12">
        <f>Total!D261</f>
        <v>0</v>
      </c>
      <c r="F16" s="12">
        <f>Total!E261</f>
        <v>0</v>
      </c>
      <c r="G16" s="47">
        <f>Total!F261</f>
        <v>0</v>
      </c>
      <c r="H16" s="15">
        <f>Total!G261</f>
        <v>0</v>
      </c>
      <c r="I16" s="47">
        <f>Total!H261</f>
        <v>0</v>
      </c>
      <c r="J16" s="15">
        <f>Total!I261</f>
        <v>0</v>
      </c>
      <c r="K16" s="47">
        <f>Total!J261</f>
        <v>0</v>
      </c>
      <c r="L16" s="15">
        <f>Total!K261</f>
        <v>0</v>
      </c>
      <c r="M16" s="27">
        <f>Total!L261</f>
        <v>0</v>
      </c>
      <c r="N16" s="27">
        <f>Total!M261</f>
        <v>0</v>
      </c>
      <c r="O16" s="52">
        <f>Total!N261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Total!B292</f>
        <v>42</v>
      </c>
      <c r="D17" s="12">
        <f>Total!C292</f>
        <v>0</v>
      </c>
      <c r="E17" s="12">
        <f>Total!D292</f>
        <v>4</v>
      </c>
      <c r="F17" s="12">
        <f>Total!E292</f>
        <v>2</v>
      </c>
      <c r="G17" s="47">
        <f>Total!F292</f>
        <v>0</v>
      </c>
      <c r="H17" s="15">
        <f>Total!G292</f>
        <v>0</v>
      </c>
      <c r="I17" s="47">
        <f>Total!H292</f>
        <v>0</v>
      </c>
      <c r="J17" s="15">
        <f>Total!I292</f>
        <v>0</v>
      </c>
      <c r="K17" s="47">
        <f>Total!J292</f>
        <v>0</v>
      </c>
      <c r="L17" s="15">
        <f>Total!K292</f>
        <v>0</v>
      </c>
      <c r="M17" s="27">
        <f>Total!L292</f>
        <v>0</v>
      </c>
      <c r="N17" s="27">
        <f>Total!M292</f>
        <v>0</v>
      </c>
      <c r="O17" s="52">
        <f>Total!N292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Total!B323</f>
        <v>22</v>
      </c>
      <c r="D18" s="12">
        <f>Total!C323</f>
        <v>0</v>
      </c>
      <c r="E18" s="12">
        <f>Total!D323</f>
        <v>0</v>
      </c>
      <c r="F18" s="12">
        <f>Total!E323</f>
        <v>0</v>
      </c>
      <c r="G18" s="47">
        <f>Total!F323</f>
        <v>0</v>
      </c>
      <c r="H18" s="15">
        <f>Total!G323</f>
        <v>0</v>
      </c>
      <c r="I18" s="47">
        <f>Total!H323</f>
        <v>0</v>
      </c>
      <c r="J18" s="15">
        <f>Total!I323</f>
        <v>0</v>
      </c>
      <c r="K18" s="47">
        <f>Total!J323</f>
        <v>0</v>
      </c>
      <c r="L18" s="15">
        <f>Total!K323</f>
        <v>0</v>
      </c>
      <c r="M18" s="27">
        <f>Total!L323</f>
        <v>0</v>
      </c>
      <c r="N18" s="27">
        <f>Total!M323</f>
        <v>0</v>
      </c>
      <c r="O18" s="52">
        <f>Total!N323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Total!B354</f>
        <v>0</v>
      </c>
      <c r="D19" s="12">
        <f>Total!C354</f>
        <v>0</v>
      </c>
      <c r="E19" s="12">
        <f>Total!D354</f>
        <v>0</v>
      </c>
      <c r="F19" s="12">
        <f>Total!E354</f>
        <v>0</v>
      </c>
      <c r="G19" s="48">
        <f>Total!F354</f>
        <v>0</v>
      </c>
      <c r="H19" s="15">
        <f>Total!G354</f>
        <v>0</v>
      </c>
      <c r="I19" s="48">
        <f>Total!H354</f>
        <v>0</v>
      </c>
      <c r="J19" s="15">
        <f>Total!I354</f>
        <v>0</v>
      </c>
      <c r="K19" s="48">
        <f>Total!J354</f>
        <v>0</v>
      </c>
      <c r="L19" s="15">
        <f>Total!K354</f>
        <v>0</v>
      </c>
      <c r="M19" s="27">
        <f>Total!L354</f>
        <v>0</v>
      </c>
      <c r="N19" s="27">
        <f>Total!M354</f>
        <v>0</v>
      </c>
      <c r="O19" s="52">
        <f>Total!N354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222</v>
      </c>
      <c r="D20" s="17">
        <f t="shared" si="0"/>
        <v>0</v>
      </c>
      <c r="E20" s="17">
        <f t="shared" si="0"/>
        <v>4</v>
      </c>
      <c r="F20" s="17">
        <f t="shared" si="0"/>
        <v>2</v>
      </c>
      <c r="G20" s="18">
        <f t="shared" si="0"/>
        <v>383586.56999999995</v>
      </c>
      <c r="H20" s="18">
        <f t="shared" si="0"/>
        <v>702952.54</v>
      </c>
      <c r="I20" s="18">
        <f t="shared" si="0"/>
        <v>351885.75</v>
      </c>
      <c r="J20" s="18">
        <f t="shared" si="0"/>
        <v>149835.04</v>
      </c>
      <c r="K20" s="18">
        <f t="shared" si="0"/>
        <v>276387.65000000002</v>
      </c>
      <c r="L20" s="18">
        <f t="shared" si="0"/>
        <v>115143.81999999999</v>
      </c>
      <c r="M20" s="18">
        <f t="shared" si="0"/>
        <v>1011859.97</v>
      </c>
      <c r="N20" s="18">
        <f t="shared" si="0"/>
        <v>967931.4</v>
      </c>
      <c r="O20" s="30">
        <f t="shared" si="0"/>
        <v>-43928.569999999992</v>
      </c>
    </row>
    <row r="24" spans="1:15" x14ac:dyDescent="0.25">
      <c r="B24" t="s">
        <v>73</v>
      </c>
      <c r="C24" s="20"/>
      <c r="G24" s="20">
        <f>SUM(C20:E20)</f>
        <v>226</v>
      </c>
      <c r="H24" s="20">
        <f>G24-J5</f>
        <v>-423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51181102362204722" footer="0.51181102362204722"/>
  <pageSetup paperSize="9" scale="94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2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convenio'!$O$16</f>
        <v>4</v>
      </c>
      <c r="H5" s="191" t="s">
        <v>65</v>
      </c>
      <c r="I5" s="173"/>
      <c r="J5" s="61">
        <f>'[3]intern. diaria convenio'!$O$62</f>
        <v>8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Total!B15</f>
        <v>0</v>
      </c>
      <c r="D8" s="12">
        <f>Total!C15</f>
        <v>0</v>
      </c>
      <c r="E8" s="12">
        <f>Total!D15</f>
        <v>0</v>
      </c>
      <c r="F8" s="12">
        <f>Total!E15</f>
        <v>0</v>
      </c>
      <c r="G8" s="46">
        <f>Total!F15</f>
        <v>0</v>
      </c>
      <c r="H8" s="15">
        <f>Total!G15</f>
        <v>0</v>
      </c>
      <c r="I8" s="46">
        <f>Total!H15</f>
        <v>0</v>
      </c>
      <c r="J8" s="15">
        <f>Total!I15</f>
        <v>0</v>
      </c>
      <c r="K8" s="46">
        <f>Total!J15</f>
        <v>0</v>
      </c>
      <c r="L8" s="15">
        <f>Total!K15</f>
        <v>0</v>
      </c>
      <c r="M8" s="27">
        <f>Total!L15</f>
        <v>0</v>
      </c>
      <c r="N8" s="27">
        <f>Total!M15</f>
        <v>0</v>
      </c>
      <c r="O8" s="52">
        <f>Total!N15</f>
        <v>0</v>
      </c>
    </row>
    <row r="9" spans="1:15" s="13" customFormat="1" ht="16.5" customHeight="1" x14ac:dyDescent="0.25">
      <c r="A9" s="188" t="s">
        <v>43</v>
      </c>
      <c r="B9" s="189"/>
      <c r="C9" s="12">
        <f>Total!B46</f>
        <v>0</v>
      </c>
      <c r="D9" s="12">
        <f>Total!C46</f>
        <v>0</v>
      </c>
      <c r="E9" s="12">
        <f>Total!D46</f>
        <v>0</v>
      </c>
      <c r="F9" s="12">
        <f>Total!E46</f>
        <v>0</v>
      </c>
      <c r="G9" s="47">
        <f>Total!J46</f>
        <v>0</v>
      </c>
      <c r="H9" s="15">
        <f>Total!G46</f>
        <v>0</v>
      </c>
      <c r="I9" s="47">
        <f>Total!H46</f>
        <v>0</v>
      </c>
      <c r="J9" s="15">
        <f>Total!I46</f>
        <v>0</v>
      </c>
      <c r="K9" s="47">
        <f>Total!J46</f>
        <v>0</v>
      </c>
      <c r="L9" s="15">
        <f>Total!K46</f>
        <v>0</v>
      </c>
      <c r="M9" s="27">
        <f>Total!L46</f>
        <v>0</v>
      </c>
      <c r="N9" s="27">
        <f>Total!M46</f>
        <v>0</v>
      </c>
      <c r="O9" s="52">
        <f>Total!N46</f>
        <v>0</v>
      </c>
    </row>
    <row r="10" spans="1:15" s="13" customFormat="1" ht="16.5" customHeight="1" x14ac:dyDescent="0.25">
      <c r="A10" s="188" t="s">
        <v>44</v>
      </c>
      <c r="B10" s="189"/>
      <c r="C10" s="12">
        <f>Total!B77</f>
        <v>0</v>
      </c>
      <c r="D10" s="12">
        <f>Total!C77</f>
        <v>0</v>
      </c>
      <c r="E10" s="12">
        <f>Total!D77</f>
        <v>0</v>
      </c>
      <c r="F10" s="12">
        <f>Total!E77</f>
        <v>0</v>
      </c>
      <c r="G10" s="47">
        <f>Total!F77</f>
        <v>328.95</v>
      </c>
      <c r="H10" s="15">
        <f>Total!G77</f>
        <v>2391.5700000000002</v>
      </c>
      <c r="I10" s="47">
        <f>Total!H77</f>
        <v>558.95000000000005</v>
      </c>
      <c r="J10" s="15">
        <f>Total!I77</f>
        <v>189</v>
      </c>
      <c r="K10" s="47">
        <f>Total!J77</f>
        <v>944.45</v>
      </c>
      <c r="L10" s="15">
        <f>Total!K77</f>
        <v>751.96</v>
      </c>
      <c r="M10" s="27">
        <f>Total!L77</f>
        <v>1832.3500000000001</v>
      </c>
      <c r="N10" s="27">
        <f>Total!M77</f>
        <v>3332.53</v>
      </c>
      <c r="O10" s="52">
        <f>Total!N77</f>
        <v>1500.18</v>
      </c>
    </row>
    <row r="11" spans="1:15" s="13" customFormat="1" ht="16.5" customHeight="1" x14ac:dyDescent="0.25">
      <c r="A11" s="188" t="s">
        <v>45</v>
      </c>
      <c r="B11" s="189"/>
      <c r="C11" s="12">
        <f>Total!B108</f>
        <v>0</v>
      </c>
      <c r="D11" s="12">
        <f>Total!C108</f>
        <v>0</v>
      </c>
      <c r="E11" s="12">
        <f>Total!D108</f>
        <v>0</v>
      </c>
      <c r="F11" s="12">
        <f>Total!E108</f>
        <v>0</v>
      </c>
      <c r="G11" s="47">
        <f>Total!F108</f>
        <v>0</v>
      </c>
      <c r="H11" s="15">
        <f>Total!G108</f>
        <v>0</v>
      </c>
      <c r="I11" s="47">
        <f>Total!H108</f>
        <v>0</v>
      </c>
      <c r="J11" s="15">
        <f>Total!I108</f>
        <v>0</v>
      </c>
      <c r="K11" s="47">
        <f>Total!J108</f>
        <v>0</v>
      </c>
      <c r="L11" s="15">
        <f>Total!K108</f>
        <v>0</v>
      </c>
      <c r="M11" s="27">
        <f>Total!L108</f>
        <v>0</v>
      </c>
      <c r="N11" s="27">
        <f>Total!M108</f>
        <v>0</v>
      </c>
      <c r="O11" s="52">
        <f>Total!N108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Total!B139</f>
        <v>0</v>
      </c>
      <c r="D12" s="12">
        <f>Total!C139</f>
        <v>0</v>
      </c>
      <c r="E12" s="12">
        <f>Total!D139</f>
        <v>0</v>
      </c>
      <c r="F12" s="12">
        <f>Total!E139</f>
        <v>0</v>
      </c>
      <c r="G12" s="47">
        <f>Total!F181</f>
        <v>0</v>
      </c>
      <c r="H12" s="15">
        <f>Total!G139</f>
        <v>0</v>
      </c>
      <c r="I12" s="47">
        <f>Total!H139</f>
        <v>0</v>
      </c>
      <c r="J12" s="15">
        <f>Total!I139</f>
        <v>0</v>
      </c>
      <c r="K12" s="47">
        <f>Total!J139</f>
        <v>0</v>
      </c>
      <c r="L12" s="15">
        <f>Total!K139</f>
        <v>0</v>
      </c>
      <c r="M12" s="27">
        <f>Total!L139</f>
        <v>0</v>
      </c>
      <c r="N12" s="27">
        <f>Total!M139</f>
        <v>0</v>
      </c>
      <c r="O12" s="52">
        <f>Total!N139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Total!B170</f>
        <v>0</v>
      </c>
      <c r="D13" s="12">
        <f>Total!C170</f>
        <v>0</v>
      </c>
      <c r="E13" s="12">
        <f>Total!D170</f>
        <v>0</v>
      </c>
      <c r="F13" s="12">
        <f>Total!E170</f>
        <v>0</v>
      </c>
      <c r="G13" s="47">
        <f>Total!F170</f>
        <v>0</v>
      </c>
      <c r="H13" s="15">
        <f>Total!G170</f>
        <v>0</v>
      </c>
      <c r="I13" s="47">
        <f>Total!H170</f>
        <v>0</v>
      </c>
      <c r="J13" s="15">
        <f>Total!I170</f>
        <v>0</v>
      </c>
      <c r="K13" s="47">
        <f>Total!J170</f>
        <v>0</v>
      </c>
      <c r="L13" s="15">
        <f>Total!K170</f>
        <v>0</v>
      </c>
      <c r="M13" s="27">
        <f>Total!L170</f>
        <v>0</v>
      </c>
      <c r="N13" s="27">
        <f>Total!M170</f>
        <v>0</v>
      </c>
      <c r="O13" s="52">
        <f>Total!N170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Total!B201</f>
        <v>0</v>
      </c>
      <c r="D14" s="12">
        <f>Total!C201</f>
        <v>0</v>
      </c>
      <c r="E14" s="12">
        <f>Total!D201</f>
        <v>0</v>
      </c>
      <c r="F14" s="12">
        <f>Total!E201</f>
        <v>0</v>
      </c>
      <c r="G14" s="47">
        <f>Total!F201</f>
        <v>0</v>
      </c>
      <c r="H14" s="15">
        <f>Total!G201</f>
        <v>0</v>
      </c>
      <c r="I14" s="47">
        <f>Total!H201</f>
        <v>0</v>
      </c>
      <c r="J14" s="15">
        <f>Total!I201</f>
        <v>0</v>
      </c>
      <c r="K14" s="47">
        <f>Total!J201</f>
        <v>0</v>
      </c>
      <c r="L14" s="47">
        <f>Total!K201</f>
        <v>0</v>
      </c>
      <c r="M14" s="26">
        <f>Total!L201</f>
        <v>0</v>
      </c>
      <c r="N14" s="27">
        <f>Total!M201</f>
        <v>0</v>
      </c>
      <c r="O14" s="52">
        <f>Total!N201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Total!B232</f>
        <v>0</v>
      </c>
      <c r="D15" s="12">
        <f>Total!C232</f>
        <v>0</v>
      </c>
      <c r="E15" s="12">
        <f>Total!D232</f>
        <v>0</v>
      </c>
      <c r="F15" s="12">
        <f>Total!E232</f>
        <v>0</v>
      </c>
      <c r="G15" s="47">
        <f>Total!F232</f>
        <v>0</v>
      </c>
      <c r="H15" s="15">
        <f>Total!G232</f>
        <v>0</v>
      </c>
      <c r="I15" s="47">
        <f>Total!H232</f>
        <v>0</v>
      </c>
      <c r="J15" s="15">
        <f>Total!I232</f>
        <v>0</v>
      </c>
      <c r="K15" s="47">
        <f>Total!J232</f>
        <v>0</v>
      </c>
      <c r="L15" s="15">
        <f>Total!K232</f>
        <v>0</v>
      </c>
      <c r="M15" s="27">
        <f>Total!L232</f>
        <v>0</v>
      </c>
      <c r="N15" s="27">
        <f>Total!M232</f>
        <v>0</v>
      </c>
      <c r="O15" s="52">
        <f>Total!N232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Total!B263</f>
        <v>0</v>
      </c>
      <c r="D16" s="12">
        <f>Total!C263</f>
        <v>0</v>
      </c>
      <c r="E16" s="12">
        <f>Total!D263</f>
        <v>0</v>
      </c>
      <c r="F16" s="12">
        <f>Total!E263</f>
        <v>0</v>
      </c>
      <c r="G16" s="47">
        <f>Total!F263</f>
        <v>0</v>
      </c>
      <c r="H16" s="15">
        <f>Total!G263</f>
        <v>0</v>
      </c>
      <c r="I16" s="47">
        <f>Total!H263</f>
        <v>0</v>
      </c>
      <c r="J16" s="15">
        <f>Total!I263</f>
        <v>0</v>
      </c>
      <c r="K16" s="47">
        <f>Total!J263</f>
        <v>0</v>
      </c>
      <c r="L16" s="15">
        <f>Total!K263</f>
        <v>0</v>
      </c>
      <c r="M16" s="27">
        <f>Total!L263</f>
        <v>0</v>
      </c>
      <c r="N16" s="27">
        <f>Total!M263</f>
        <v>0</v>
      </c>
      <c r="O16" s="52">
        <f>Total!N263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Total!B294</f>
        <v>0</v>
      </c>
      <c r="D17" s="12">
        <f>Total!C294</f>
        <v>0</v>
      </c>
      <c r="E17" s="12">
        <f>Total!D294</f>
        <v>0</v>
      </c>
      <c r="F17" s="12">
        <f>Total!E294</f>
        <v>0</v>
      </c>
      <c r="G17" s="47">
        <f>Total!F294</f>
        <v>0</v>
      </c>
      <c r="H17" s="15">
        <f>Total!G294</f>
        <v>0</v>
      </c>
      <c r="I17" s="47">
        <f>Total!H294</f>
        <v>0</v>
      </c>
      <c r="J17" s="15">
        <f>Total!I294</f>
        <v>0</v>
      </c>
      <c r="K17" s="47">
        <f>Total!J294</f>
        <v>0</v>
      </c>
      <c r="L17" s="15">
        <f>Total!K294</f>
        <v>0</v>
      </c>
      <c r="M17" s="27">
        <f>Total!L294</f>
        <v>0</v>
      </c>
      <c r="N17" s="27">
        <f>Total!M294</f>
        <v>0</v>
      </c>
      <c r="O17" s="52">
        <f>Total!N294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Total!B325</f>
        <v>0</v>
      </c>
      <c r="D18" s="12">
        <f>Total!C325</f>
        <v>0</v>
      </c>
      <c r="E18" s="12">
        <f>Total!D325</f>
        <v>0</v>
      </c>
      <c r="F18" s="12">
        <f>Total!E325</f>
        <v>0</v>
      </c>
      <c r="G18" s="47">
        <f>Total!F325</f>
        <v>0</v>
      </c>
      <c r="H18" s="15">
        <f>Total!G325</f>
        <v>0</v>
      </c>
      <c r="I18" s="47">
        <f>Total!H325</f>
        <v>0</v>
      </c>
      <c r="J18" s="15">
        <f>Total!I325</f>
        <v>0</v>
      </c>
      <c r="K18" s="47">
        <f>Total!J325</f>
        <v>0</v>
      </c>
      <c r="L18" s="15">
        <f>Total!K325</f>
        <v>0</v>
      </c>
      <c r="M18" s="27">
        <f>Total!L325</f>
        <v>0</v>
      </c>
      <c r="N18" s="27">
        <f>Total!M325</f>
        <v>0</v>
      </c>
      <c r="O18" s="52">
        <f>Total!N325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Total!B356</f>
        <v>0</v>
      </c>
      <c r="D19" s="12">
        <f>Total!C356</f>
        <v>0</v>
      </c>
      <c r="E19" s="12">
        <f>Total!D356</f>
        <v>0</v>
      </c>
      <c r="F19" s="12">
        <f>Total!E356</f>
        <v>0</v>
      </c>
      <c r="G19" s="48">
        <f>Total!F356</f>
        <v>0</v>
      </c>
      <c r="H19" s="15">
        <f>Total!G356</f>
        <v>0</v>
      </c>
      <c r="I19" s="48">
        <f>Total!H356</f>
        <v>0</v>
      </c>
      <c r="J19" s="15">
        <f>Total!I356</f>
        <v>0</v>
      </c>
      <c r="K19" s="48">
        <f>Total!J356</f>
        <v>0</v>
      </c>
      <c r="L19" s="15">
        <f>Total!K356</f>
        <v>0</v>
      </c>
      <c r="M19" s="27">
        <f>Total!L356</f>
        <v>0</v>
      </c>
      <c r="N19" s="27">
        <f>Total!M356</f>
        <v>0</v>
      </c>
      <c r="O19" s="52">
        <f>Total!N356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328.95</v>
      </c>
      <c r="H20" s="18">
        <f t="shared" si="0"/>
        <v>2391.5700000000002</v>
      </c>
      <c r="I20" s="18">
        <f t="shared" si="0"/>
        <v>558.95000000000005</v>
      </c>
      <c r="J20" s="18">
        <f t="shared" si="0"/>
        <v>189</v>
      </c>
      <c r="K20" s="18">
        <f t="shared" si="0"/>
        <v>944.45</v>
      </c>
      <c r="L20" s="18">
        <f t="shared" si="0"/>
        <v>751.96</v>
      </c>
      <c r="M20" s="18">
        <f t="shared" si="0"/>
        <v>1832.3500000000001</v>
      </c>
      <c r="N20" s="18">
        <f t="shared" si="0"/>
        <v>3332.53</v>
      </c>
      <c r="O20" s="30">
        <f t="shared" si="0"/>
        <v>1500.18</v>
      </c>
    </row>
    <row r="24" spans="1:15" x14ac:dyDescent="0.25">
      <c r="B24" t="s">
        <v>73</v>
      </c>
      <c r="C24" s="20"/>
      <c r="G24" s="20">
        <f>SUM(C20:E20)</f>
        <v>0</v>
      </c>
      <c r="H24" s="20">
        <f>G24-J5</f>
        <v>-8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14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2" width="11.7109375" customWidth="1"/>
    <col min="13" max="13" width="11.7109375" style="34" customWidth="1"/>
    <col min="14" max="14" width="11.5703125" style="34" bestFit="1" customWidth="1"/>
    <col min="15" max="15" width="12.28515625" style="34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convenio'!$O$21</f>
        <v>16</v>
      </c>
      <c r="H5" s="191" t="s">
        <v>65</v>
      </c>
      <c r="I5" s="173"/>
      <c r="J5" s="61">
        <f>'[3]intern. diaria convenio'!$O$67</f>
        <v>190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Total!B16</f>
        <v>0</v>
      </c>
      <c r="D8" s="12">
        <f>Total!C16</f>
        <v>0</v>
      </c>
      <c r="E8" s="12">
        <f>Total!D16</f>
        <v>0</v>
      </c>
      <c r="F8" s="12">
        <f>Total!E16</f>
        <v>0</v>
      </c>
      <c r="G8" s="46">
        <f>Total!F16</f>
        <v>8805.24</v>
      </c>
      <c r="H8" s="46">
        <f>Total!G16</f>
        <v>36537.54</v>
      </c>
      <c r="I8" s="46">
        <f>Total!H16</f>
        <v>13104.25</v>
      </c>
      <c r="J8" s="46">
        <f>Total!I16</f>
        <v>7874.28</v>
      </c>
      <c r="K8" s="46">
        <f>Total!J16</f>
        <v>887.92</v>
      </c>
      <c r="L8" s="46">
        <f>Total!K16</f>
        <v>1181.32</v>
      </c>
      <c r="M8" s="46">
        <f>Total!L16</f>
        <v>22797.409999999996</v>
      </c>
      <c r="N8" s="46">
        <f>Total!M16</f>
        <v>45593.14</v>
      </c>
      <c r="O8" s="52">
        <f>Total!N16</f>
        <v>22795.730000000003</v>
      </c>
    </row>
    <row r="9" spans="1:15" s="13" customFormat="1" ht="16.5" customHeight="1" x14ac:dyDescent="0.25">
      <c r="A9" s="188" t="s">
        <v>43</v>
      </c>
      <c r="B9" s="189"/>
      <c r="C9" s="12">
        <f>Total!B47</f>
        <v>0</v>
      </c>
      <c r="D9" s="12">
        <f>Total!C47</f>
        <v>0</v>
      </c>
      <c r="E9" s="12">
        <f>Total!D47</f>
        <v>0</v>
      </c>
      <c r="F9" s="12">
        <f>Total!E47</f>
        <v>0</v>
      </c>
      <c r="G9" s="47">
        <f>Total!F47</f>
        <v>779212.78</v>
      </c>
      <c r="H9" s="47">
        <f>Total!G47</f>
        <v>40250.57</v>
      </c>
      <c r="I9" s="47">
        <f>Total!H47</f>
        <v>14243.75</v>
      </c>
      <c r="J9" s="47">
        <f>Total!I47</f>
        <v>8559</v>
      </c>
      <c r="K9" s="47">
        <f>Total!J47</f>
        <v>18525.28</v>
      </c>
      <c r="L9" s="47">
        <f>Total!K47</f>
        <v>5771.86</v>
      </c>
      <c r="M9" s="47">
        <f>Total!L47</f>
        <v>811981.81</v>
      </c>
      <c r="N9" s="47">
        <f>Total!M47</f>
        <v>54581.43</v>
      </c>
      <c r="O9" s="47">
        <f>Total!N47</f>
        <v>-757400.38</v>
      </c>
    </row>
    <row r="10" spans="1:15" s="13" customFormat="1" ht="16.5" customHeight="1" x14ac:dyDescent="0.25">
      <c r="A10" s="188" t="s">
        <v>44</v>
      </c>
      <c r="B10" s="189"/>
      <c r="C10" s="12">
        <f>Total!B78</f>
        <v>0</v>
      </c>
      <c r="D10" s="12">
        <f>Total!C78</f>
        <v>0</v>
      </c>
      <c r="E10" s="12">
        <f>Total!D78</f>
        <v>0</v>
      </c>
      <c r="F10" s="12">
        <f>Total!E78</f>
        <v>0</v>
      </c>
      <c r="G10" s="47">
        <f>Total!F78</f>
        <v>192760.64</v>
      </c>
      <c r="H10" s="47">
        <f>Total!G78</f>
        <v>70379.69</v>
      </c>
      <c r="I10" s="47">
        <f>Total!H78</f>
        <v>23929.5</v>
      </c>
      <c r="J10" s="47">
        <f>Total!I78</f>
        <v>14379.12</v>
      </c>
      <c r="K10" s="47">
        <f>Total!J78</f>
        <v>14893.2</v>
      </c>
      <c r="L10" s="47">
        <f>Total!K78</f>
        <v>4978.71</v>
      </c>
      <c r="M10" s="47">
        <f>Total!L78</f>
        <v>231583.34000000003</v>
      </c>
      <c r="N10" s="47">
        <f>Total!M78</f>
        <v>89737.52</v>
      </c>
      <c r="O10" s="47">
        <f>Total!N78</f>
        <v>-141845.82</v>
      </c>
    </row>
    <row r="11" spans="1:15" s="13" customFormat="1" ht="16.5" customHeight="1" x14ac:dyDescent="0.25">
      <c r="A11" s="188" t="s">
        <v>45</v>
      </c>
      <c r="B11" s="189"/>
      <c r="C11" s="12">
        <f>Total!B109</f>
        <v>0</v>
      </c>
      <c r="D11" s="12">
        <f>Total!C109</f>
        <v>0</v>
      </c>
      <c r="E11" s="12">
        <f>Total!D109</f>
        <v>0</v>
      </c>
      <c r="F11" s="12">
        <f>Total!E109</f>
        <v>0</v>
      </c>
      <c r="G11" s="47">
        <f>Total!F109</f>
        <v>47020.6</v>
      </c>
      <c r="H11" s="47">
        <f>Total!G109</f>
        <v>57419.67</v>
      </c>
      <c r="I11" s="47">
        <f>Total!H109</f>
        <v>25596.75</v>
      </c>
      <c r="J11" s="47">
        <f>Total!I109</f>
        <v>15777.16</v>
      </c>
      <c r="K11" s="47">
        <f>Total!J109</f>
        <v>5042.82</v>
      </c>
      <c r="L11" s="47">
        <f>Total!K109</f>
        <v>1282.31</v>
      </c>
      <c r="M11" s="47">
        <f>Total!L109</f>
        <v>77660.170000000013</v>
      </c>
      <c r="N11" s="47">
        <f>Total!M109</f>
        <v>74479.14</v>
      </c>
      <c r="O11" s="47">
        <f>Total!N109</f>
        <v>-3181.0300000000134</v>
      </c>
    </row>
    <row r="12" spans="1:15" s="13" customFormat="1" ht="16.5" customHeight="1" x14ac:dyDescent="0.25">
      <c r="A12" s="188" t="s">
        <v>46</v>
      </c>
      <c r="B12" s="189"/>
      <c r="C12" s="12">
        <f>Total!B140</f>
        <v>0</v>
      </c>
      <c r="D12" s="12">
        <f>Total!C140</f>
        <v>0</v>
      </c>
      <c r="E12" s="12">
        <f>Total!D140</f>
        <v>0</v>
      </c>
      <c r="F12" s="12">
        <f>Total!E140</f>
        <v>0</v>
      </c>
      <c r="G12" s="47">
        <f>Total!F140</f>
        <v>877414.25</v>
      </c>
      <c r="H12" s="47">
        <f>Total!G140</f>
        <v>78411.67</v>
      </c>
      <c r="I12" s="47">
        <f>Total!H140</f>
        <v>29627</v>
      </c>
      <c r="J12" s="47">
        <f>Total!I140</f>
        <v>17607.240000000002</v>
      </c>
      <c r="K12" s="47">
        <f>Total!J140</f>
        <v>22805</v>
      </c>
      <c r="L12" s="47">
        <f>Total!K140</f>
        <v>6814.77</v>
      </c>
      <c r="M12" s="47">
        <f>Total!L140</f>
        <v>929846.25</v>
      </c>
      <c r="N12" s="47">
        <f>Total!M140</f>
        <v>102833.68000000001</v>
      </c>
      <c r="O12" s="47">
        <f>Total!N140</f>
        <v>-827012.57</v>
      </c>
    </row>
    <row r="13" spans="1:15" s="13" customFormat="1" ht="16.5" customHeight="1" x14ac:dyDescent="0.25">
      <c r="A13" s="188" t="s">
        <v>47</v>
      </c>
      <c r="B13" s="189"/>
      <c r="C13" s="12">
        <f>Total!B171</f>
        <v>0</v>
      </c>
      <c r="D13" s="12">
        <f>Total!C171</f>
        <v>0</v>
      </c>
      <c r="E13" s="12">
        <f>Total!D171</f>
        <v>0</v>
      </c>
      <c r="F13" s="12">
        <f>Total!E171</f>
        <v>0</v>
      </c>
      <c r="G13" s="47">
        <f>Total!F171</f>
        <v>385.1</v>
      </c>
      <c r="H13" s="47">
        <f>Total!G171</f>
        <v>4340.38</v>
      </c>
      <c r="I13" s="47">
        <f>Total!H171</f>
        <v>4558</v>
      </c>
      <c r="J13" s="47">
        <f>Total!I171</f>
        <v>3087.48</v>
      </c>
      <c r="K13" s="47">
        <f>Total!J171</f>
        <v>4296.28</v>
      </c>
      <c r="L13" s="47">
        <f>Total!K171</f>
        <v>1238.8</v>
      </c>
      <c r="M13" s="47">
        <f>Total!L171</f>
        <v>9239.380000000001</v>
      </c>
      <c r="N13" s="47">
        <f>Total!M171</f>
        <v>8666.66</v>
      </c>
      <c r="O13" s="47">
        <f>Total!N171</f>
        <v>-572.72000000000116</v>
      </c>
    </row>
    <row r="14" spans="1:15" s="13" customFormat="1" ht="16.5" customHeight="1" x14ac:dyDescent="0.25">
      <c r="A14" s="188" t="s">
        <v>48</v>
      </c>
      <c r="B14" s="189"/>
      <c r="C14" s="12">
        <f>Total!B202</f>
        <v>1</v>
      </c>
      <c r="D14" s="12">
        <f>Total!C202</f>
        <v>0</v>
      </c>
      <c r="E14" s="12">
        <f>Total!D202</f>
        <v>0</v>
      </c>
      <c r="F14" s="12">
        <f>Total!E202</f>
        <v>0</v>
      </c>
      <c r="G14" s="47">
        <f>Total!F202</f>
        <v>0</v>
      </c>
      <c r="H14" s="47">
        <f>Total!G202</f>
        <v>0</v>
      </c>
      <c r="I14" s="47">
        <f>Total!H202</f>
        <v>0</v>
      </c>
      <c r="J14" s="47">
        <f>Total!I202</f>
        <v>0</v>
      </c>
      <c r="K14" s="47">
        <f>Total!J202</f>
        <v>0</v>
      </c>
      <c r="L14" s="47">
        <f>Total!K202</f>
        <v>0</v>
      </c>
      <c r="M14" s="47">
        <f>Total!L202</f>
        <v>0</v>
      </c>
      <c r="N14" s="47">
        <f>Total!M202</f>
        <v>0</v>
      </c>
      <c r="O14" s="47">
        <f>Total!N202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Total!B233</f>
        <v>45</v>
      </c>
      <c r="D15" s="12">
        <f>Total!C233</f>
        <v>0</v>
      </c>
      <c r="E15" s="12">
        <f>Total!D233</f>
        <v>3</v>
      </c>
      <c r="F15" s="12">
        <f>Total!E233</f>
        <v>0</v>
      </c>
      <c r="G15" s="47">
        <f>Total!F233</f>
        <v>0</v>
      </c>
      <c r="H15" s="47">
        <f>Total!G233</f>
        <v>0</v>
      </c>
      <c r="I15" s="47">
        <f>Total!H233</f>
        <v>0</v>
      </c>
      <c r="J15" s="47">
        <f>Total!I233</f>
        <v>0</v>
      </c>
      <c r="K15" s="47">
        <f>Total!J233</f>
        <v>0</v>
      </c>
      <c r="L15" s="47">
        <f>Total!K233</f>
        <v>0</v>
      </c>
      <c r="M15" s="47">
        <f>Total!L233</f>
        <v>0</v>
      </c>
      <c r="N15" s="47">
        <f>Total!M233</f>
        <v>0</v>
      </c>
      <c r="O15" s="47">
        <f>Total!N233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Total!B264</f>
        <v>16</v>
      </c>
      <c r="D16" s="12">
        <f>Total!C264</f>
        <v>3</v>
      </c>
      <c r="E16" s="12">
        <f>Total!D264</f>
        <v>0</v>
      </c>
      <c r="F16" s="12">
        <f>Total!E264</f>
        <v>0</v>
      </c>
      <c r="G16" s="47">
        <f>Total!F264</f>
        <v>0</v>
      </c>
      <c r="H16" s="47">
        <f>Total!G264</f>
        <v>0</v>
      </c>
      <c r="I16" s="47">
        <f>Total!H264</f>
        <v>0</v>
      </c>
      <c r="J16" s="47">
        <f>Total!I264</f>
        <v>0</v>
      </c>
      <c r="K16" s="47">
        <f>Total!J264</f>
        <v>0</v>
      </c>
      <c r="L16" s="47">
        <f>Total!K264</f>
        <v>0</v>
      </c>
      <c r="M16" s="47">
        <f>Total!L264</f>
        <v>0</v>
      </c>
      <c r="N16" s="47">
        <f>Total!M264</f>
        <v>0</v>
      </c>
      <c r="O16" s="47">
        <f>Total!N264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Total!B295</f>
        <v>9</v>
      </c>
      <c r="D17" s="12">
        <f>Total!C295</f>
        <v>0</v>
      </c>
      <c r="E17" s="12">
        <f>Total!D295</f>
        <v>0</v>
      </c>
      <c r="F17" s="12">
        <f>Total!E295</f>
        <v>0</v>
      </c>
      <c r="G17" s="47">
        <f>Total!F295</f>
        <v>0</v>
      </c>
      <c r="H17" s="47">
        <f>Total!G295</f>
        <v>0</v>
      </c>
      <c r="I17" s="47">
        <f>Total!H295</f>
        <v>0</v>
      </c>
      <c r="J17" s="47">
        <f>Total!I295</f>
        <v>0</v>
      </c>
      <c r="K17" s="47">
        <f>Total!J295</f>
        <v>0</v>
      </c>
      <c r="L17" s="47">
        <f>Total!K295</f>
        <v>0</v>
      </c>
      <c r="M17" s="47">
        <f>Total!L295</f>
        <v>0</v>
      </c>
      <c r="N17" s="47">
        <f>Total!M295</f>
        <v>0</v>
      </c>
      <c r="O17" s="47">
        <f>Total!N295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Total!B326</f>
        <v>14</v>
      </c>
      <c r="D18" s="12">
        <f>Total!C326</f>
        <v>0</v>
      </c>
      <c r="E18" s="12">
        <f>Total!D326</f>
        <v>0</v>
      </c>
      <c r="F18" s="12">
        <f>Total!E326</f>
        <v>0</v>
      </c>
      <c r="G18" s="47">
        <f>Total!F326</f>
        <v>0</v>
      </c>
      <c r="H18" s="47">
        <f>Total!G326</f>
        <v>0</v>
      </c>
      <c r="I18" s="47">
        <f>Total!H326</f>
        <v>0</v>
      </c>
      <c r="J18" s="47">
        <f>Total!I326</f>
        <v>0</v>
      </c>
      <c r="K18" s="47">
        <f>Total!J326</f>
        <v>0</v>
      </c>
      <c r="L18" s="47">
        <f>Total!K326</f>
        <v>0</v>
      </c>
      <c r="M18" s="47">
        <f>Total!L326</f>
        <v>0</v>
      </c>
      <c r="N18" s="47">
        <f>Total!M326</f>
        <v>0</v>
      </c>
      <c r="O18" s="47">
        <f>Total!N326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Total!B357</f>
        <v>0</v>
      </c>
      <c r="D19" s="12">
        <f>Total!C357</f>
        <v>0</v>
      </c>
      <c r="E19" s="12">
        <f>Total!D357</f>
        <v>0</v>
      </c>
      <c r="F19" s="12">
        <f>Total!E357</f>
        <v>0</v>
      </c>
      <c r="G19" s="48">
        <f>Total!F357</f>
        <v>0</v>
      </c>
      <c r="H19" s="48">
        <f>Total!G357</f>
        <v>0</v>
      </c>
      <c r="I19" s="48">
        <f>Total!H357</f>
        <v>0</v>
      </c>
      <c r="J19" s="48">
        <f>Total!I357</f>
        <v>0</v>
      </c>
      <c r="K19" s="48">
        <f>Total!J357</f>
        <v>0</v>
      </c>
      <c r="L19" s="48">
        <f>Total!K357</f>
        <v>0</v>
      </c>
      <c r="M19" s="48">
        <f>Total!L357</f>
        <v>0</v>
      </c>
      <c r="N19" s="48">
        <f>Total!M357</f>
        <v>0</v>
      </c>
      <c r="O19" s="48">
        <f>Total!N357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85</v>
      </c>
      <c r="D20" s="17">
        <f t="shared" si="0"/>
        <v>3</v>
      </c>
      <c r="E20" s="17">
        <f t="shared" si="0"/>
        <v>3</v>
      </c>
      <c r="F20" s="17">
        <f t="shared" si="0"/>
        <v>0</v>
      </c>
      <c r="G20" s="18">
        <f t="shared" si="0"/>
        <v>1905598.61</v>
      </c>
      <c r="H20" s="18">
        <f t="shared" si="0"/>
        <v>287339.51999999996</v>
      </c>
      <c r="I20" s="18">
        <f t="shared" si="0"/>
        <v>111059.25</v>
      </c>
      <c r="J20" s="18">
        <f t="shared" si="0"/>
        <v>67284.28</v>
      </c>
      <c r="K20" s="18">
        <f t="shared" si="0"/>
        <v>66450.5</v>
      </c>
      <c r="L20" s="18">
        <f t="shared" si="0"/>
        <v>21267.77</v>
      </c>
      <c r="M20" s="18">
        <f t="shared" si="0"/>
        <v>2083108.3599999999</v>
      </c>
      <c r="N20" s="18">
        <f t="shared" si="0"/>
        <v>375891.57</v>
      </c>
      <c r="O20" s="30">
        <f t="shared" si="0"/>
        <v>-1707216.7899999998</v>
      </c>
    </row>
    <row r="24" spans="1:15" x14ac:dyDescent="0.25">
      <c r="B24" t="s">
        <v>73</v>
      </c>
      <c r="C24" s="20"/>
      <c r="G24" s="20">
        <f>SUM(C20:E20)</f>
        <v>91</v>
      </c>
      <c r="H24" s="20">
        <f>G24-J5</f>
        <v>-99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6">
    <tabColor rgb="FF00B050"/>
    <pageSetUpPr fitToPage="1"/>
  </sheetPr>
  <dimension ref="A1:O24"/>
  <sheetViews>
    <sheetView showGridLines="0" workbookViewId="0">
      <selection sqref="A1:O20"/>
    </sheetView>
  </sheetViews>
  <sheetFormatPr defaultRowHeight="15" x14ac:dyDescent="0.25"/>
  <cols>
    <col min="1" max="6" width="8.7109375" customWidth="1"/>
    <col min="7" max="11" width="12.85546875" bestFit="1" customWidth="1"/>
    <col min="12" max="12" width="11.28515625" bestFit="1" customWidth="1"/>
    <col min="13" max="14" width="12.85546875" bestFit="1" customWidth="1"/>
    <col min="15" max="15" width="12.28515625" style="140" bestFit="1" customWidth="1"/>
  </cols>
  <sheetData>
    <row r="1" spans="1:15" ht="15.75" customHeight="1" x14ac:dyDescent="0.25">
      <c r="A1" s="203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4"/>
    </row>
    <row r="2" spans="1:15" x14ac:dyDescent="0.25">
      <c r="A2" s="199"/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4"/>
    </row>
    <row r="3" spans="1:15" ht="15.75" customHeight="1" x14ac:dyDescent="0.25">
      <c r="A3" s="4" t="s">
        <v>29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36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136"/>
    </row>
    <row r="5" spans="1:15" ht="15.75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convenio'!$O$24</f>
        <v>1030</v>
      </c>
      <c r="H5" s="191" t="s">
        <v>65</v>
      </c>
      <c r="I5" s="173"/>
      <c r="J5" s="61">
        <f>'[3]intern. diaria convenio'!$O$70</f>
        <v>9554</v>
      </c>
      <c r="K5" s="59"/>
      <c r="L5" s="59"/>
      <c r="M5" s="59"/>
      <c r="N5" s="59"/>
      <c r="O5" s="137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Total!B18</f>
        <v>0</v>
      </c>
      <c r="D8" s="12">
        <f>Total!C18</f>
        <v>0</v>
      </c>
      <c r="E8" s="12">
        <f>Total!D18</f>
        <v>0</v>
      </c>
      <c r="F8" s="12">
        <f>Total!E18</f>
        <v>0</v>
      </c>
      <c r="G8" s="46">
        <f>Total!F18</f>
        <v>563440.48</v>
      </c>
      <c r="H8" s="46">
        <f>Total!G18</f>
        <v>99896.3</v>
      </c>
      <c r="I8" s="46">
        <f>Total!H18</f>
        <v>467905.76</v>
      </c>
      <c r="J8" s="46">
        <f>Total!I18</f>
        <v>647539.13</v>
      </c>
      <c r="K8" s="46">
        <f>Total!J18</f>
        <v>49155.33</v>
      </c>
      <c r="L8" s="46">
        <f>Total!K18</f>
        <v>37808.160000000003</v>
      </c>
      <c r="M8" s="46">
        <f>Total!L18</f>
        <v>1080501.57</v>
      </c>
      <c r="N8" s="46">
        <f>Total!M18</f>
        <v>785243.59000000008</v>
      </c>
      <c r="O8" s="138">
        <f>Total!N18</f>
        <v>-295257.98</v>
      </c>
    </row>
    <row r="9" spans="1:15" s="13" customFormat="1" ht="16.5" customHeight="1" x14ac:dyDescent="0.25">
      <c r="A9" s="188" t="s">
        <v>43</v>
      </c>
      <c r="B9" s="189"/>
      <c r="C9" s="12">
        <f>Total!B49</f>
        <v>0</v>
      </c>
      <c r="D9" s="12">
        <f>Total!C49</f>
        <v>0</v>
      </c>
      <c r="E9" s="12">
        <f>Total!D49</f>
        <v>0</v>
      </c>
      <c r="F9" s="12">
        <f>Total!E49</f>
        <v>0</v>
      </c>
      <c r="G9" s="47">
        <f>Total!F49</f>
        <v>545586.35</v>
      </c>
      <c r="H9" s="47">
        <f>Total!G49</f>
        <v>73954.880000000005</v>
      </c>
      <c r="I9" s="47">
        <f>Total!H49</f>
        <v>314713.11</v>
      </c>
      <c r="J9" s="47">
        <f>Total!I49</f>
        <v>445611.5</v>
      </c>
      <c r="K9" s="47">
        <f>Total!J49</f>
        <v>36842.800000000003</v>
      </c>
      <c r="L9" s="47">
        <f>Total!K49</f>
        <v>30101.97</v>
      </c>
      <c r="M9" s="47">
        <f>Total!L49</f>
        <v>897142.26</v>
      </c>
      <c r="N9" s="47">
        <f>Total!M49</f>
        <v>549668.35</v>
      </c>
      <c r="O9" s="139">
        <f>Total!N49</f>
        <v>-347473.91000000003</v>
      </c>
    </row>
    <row r="10" spans="1:15" s="13" customFormat="1" ht="16.5" customHeight="1" x14ac:dyDescent="0.25">
      <c r="A10" s="188" t="s">
        <v>44</v>
      </c>
      <c r="B10" s="189"/>
      <c r="C10" s="12">
        <f>Total!B80</f>
        <v>0</v>
      </c>
      <c r="D10" s="12">
        <f>Total!C80</f>
        <v>0</v>
      </c>
      <c r="E10" s="12">
        <f>Total!D80</f>
        <v>0</v>
      </c>
      <c r="F10" s="12">
        <f>Total!E80</f>
        <v>0</v>
      </c>
      <c r="G10" s="47">
        <f>Total!F80</f>
        <v>554286.54</v>
      </c>
      <c r="H10" s="47">
        <f>Total!G80</f>
        <v>195849.51</v>
      </c>
      <c r="I10" s="47">
        <f>Total!H80</f>
        <v>402539.84</v>
      </c>
      <c r="J10" s="47">
        <f>Total!I80</f>
        <v>547531.13</v>
      </c>
      <c r="K10" s="47">
        <f>Total!J80</f>
        <v>41276.519999999997</v>
      </c>
      <c r="L10" s="47">
        <f>Total!K80</f>
        <v>33686.76</v>
      </c>
      <c r="M10" s="47">
        <f>Total!L80</f>
        <v>998102.90000000014</v>
      </c>
      <c r="N10" s="47">
        <f>Total!M80</f>
        <v>777067.4</v>
      </c>
      <c r="O10" s="139">
        <f>Total!N80</f>
        <v>-221035.50000000012</v>
      </c>
    </row>
    <row r="11" spans="1:15" s="13" customFormat="1" ht="16.5" customHeight="1" x14ac:dyDescent="0.25">
      <c r="A11" s="188" t="s">
        <v>45</v>
      </c>
      <c r="B11" s="189"/>
      <c r="C11" s="12">
        <f>Total!B111</f>
        <v>0</v>
      </c>
      <c r="D11" s="12">
        <f>Total!C111</f>
        <v>0</v>
      </c>
      <c r="E11" s="12">
        <f>Total!D111</f>
        <v>0</v>
      </c>
      <c r="F11" s="12">
        <f>Total!E111</f>
        <v>0</v>
      </c>
      <c r="G11" s="47">
        <f>Total!F111</f>
        <v>1413750.45</v>
      </c>
      <c r="H11" s="47">
        <f>Total!G111</f>
        <v>145202.76</v>
      </c>
      <c r="I11" s="47">
        <f>Total!H111</f>
        <v>343048.23</v>
      </c>
      <c r="J11" s="47">
        <f>Total!I111</f>
        <v>468464.05</v>
      </c>
      <c r="K11" s="47">
        <f>Total!J111</f>
        <v>57229.68</v>
      </c>
      <c r="L11" s="47">
        <f>Total!K111</f>
        <v>43268.93</v>
      </c>
      <c r="M11" s="47">
        <f>Total!L111</f>
        <v>1814028.3599999999</v>
      </c>
      <c r="N11" s="47">
        <f>Total!M111</f>
        <v>656935.74000000011</v>
      </c>
      <c r="O11" s="139">
        <f>Total!N111</f>
        <v>-1157092.6199999996</v>
      </c>
    </row>
    <row r="12" spans="1:15" s="13" customFormat="1" ht="16.5" customHeight="1" x14ac:dyDescent="0.25">
      <c r="A12" s="188" t="s">
        <v>46</v>
      </c>
      <c r="B12" s="189"/>
      <c r="C12" s="12">
        <f>Total!B142</f>
        <v>0</v>
      </c>
      <c r="D12" s="12">
        <f>Total!C142</f>
        <v>0</v>
      </c>
      <c r="E12" s="12">
        <f>Total!D142</f>
        <v>0</v>
      </c>
      <c r="F12" s="12">
        <f>Total!E142</f>
        <v>0</v>
      </c>
      <c r="G12" s="47">
        <f>Total!F142</f>
        <v>1317970.93</v>
      </c>
      <c r="H12" s="47">
        <f>Total!G142</f>
        <v>137213.29</v>
      </c>
      <c r="I12" s="47">
        <f>Total!H142</f>
        <v>389939.27</v>
      </c>
      <c r="J12" s="47">
        <f>Total!I142</f>
        <v>536530.80000000005</v>
      </c>
      <c r="K12" s="47">
        <f>Total!J142</f>
        <v>40832.559999999998</v>
      </c>
      <c r="L12" s="47">
        <f>Total!K142</f>
        <v>34752.29</v>
      </c>
      <c r="M12" s="47">
        <f>Total!L142</f>
        <v>1748742.76</v>
      </c>
      <c r="N12" s="47">
        <f>Total!M142</f>
        <v>708496.38000000012</v>
      </c>
      <c r="O12" s="139">
        <f>Total!N142</f>
        <v>-1040246.3799999999</v>
      </c>
    </row>
    <row r="13" spans="1:15" s="13" customFormat="1" ht="16.5" customHeight="1" x14ac:dyDescent="0.25">
      <c r="A13" s="188" t="s">
        <v>47</v>
      </c>
      <c r="B13" s="189"/>
      <c r="C13" s="12">
        <f>Total!B173</f>
        <v>0</v>
      </c>
      <c r="D13" s="12">
        <f>Total!C173</f>
        <v>0</v>
      </c>
      <c r="E13" s="12">
        <f>Total!D173</f>
        <v>0</v>
      </c>
      <c r="F13" s="12">
        <f>Total!E173</f>
        <v>0</v>
      </c>
      <c r="G13" s="47">
        <f>Total!F173</f>
        <v>1228342.56</v>
      </c>
      <c r="H13" s="47">
        <f>Total!G173</f>
        <v>124274</v>
      </c>
      <c r="I13" s="47">
        <f>Total!H173</f>
        <v>321770.75</v>
      </c>
      <c r="J13" s="47">
        <f>Total!I173</f>
        <v>439108.02</v>
      </c>
      <c r="K13" s="47">
        <f>Total!J173</f>
        <v>42602.52</v>
      </c>
      <c r="L13" s="47">
        <f>Total!K173</f>
        <v>32330.25</v>
      </c>
      <c r="M13" s="47">
        <f>Total!L173</f>
        <v>1592715.83</v>
      </c>
      <c r="N13" s="47">
        <f>Total!M173</f>
        <v>595712.27</v>
      </c>
      <c r="O13" s="139">
        <f>Total!N173</f>
        <v>-997003.56</v>
      </c>
    </row>
    <row r="14" spans="1:15" s="13" customFormat="1" ht="16.5" customHeight="1" x14ac:dyDescent="0.25">
      <c r="A14" s="188" t="s">
        <v>48</v>
      </c>
      <c r="B14" s="189"/>
      <c r="C14" s="12">
        <f>Total!B204</f>
        <v>579</v>
      </c>
      <c r="D14" s="12">
        <f>Total!C204</f>
        <v>109</v>
      </c>
      <c r="E14" s="12">
        <f>Total!D204</f>
        <v>19</v>
      </c>
      <c r="F14" s="12">
        <f>Total!E204</f>
        <v>33</v>
      </c>
      <c r="G14" s="47">
        <f>Total!F204</f>
        <v>0</v>
      </c>
      <c r="H14" s="47">
        <f>Total!G204</f>
        <v>0</v>
      </c>
      <c r="I14" s="47">
        <f>Total!H204</f>
        <v>0</v>
      </c>
      <c r="J14" s="47">
        <f>Total!I204</f>
        <v>0</v>
      </c>
      <c r="K14" s="47">
        <f>Total!J204</f>
        <v>0</v>
      </c>
      <c r="L14" s="47">
        <f>Total!K204</f>
        <v>0</v>
      </c>
      <c r="M14" s="47">
        <f>Total!L204</f>
        <v>0</v>
      </c>
      <c r="N14" s="47">
        <f>Total!M204</f>
        <v>0</v>
      </c>
      <c r="O14" s="139">
        <f>Total!N204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Total!B235</f>
        <v>484</v>
      </c>
      <c r="D15" s="12">
        <f>Total!C235</f>
        <v>163</v>
      </c>
      <c r="E15" s="12">
        <f>Total!D235</f>
        <v>41</v>
      </c>
      <c r="F15" s="12">
        <f>Total!E235</f>
        <v>33</v>
      </c>
      <c r="G15" s="47">
        <f>Total!F235</f>
        <v>0</v>
      </c>
      <c r="H15" s="47">
        <f>Total!G235</f>
        <v>0</v>
      </c>
      <c r="I15" s="47">
        <f>Total!H235</f>
        <v>0</v>
      </c>
      <c r="J15" s="47">
        <f>Total!I235</f>
        <v>0</v>
      </c>
      <c r="K15" s="47">
        <f>Total!J235</f>
        <v>0</v>
      </c>
      <c r="L15" s="47">
        <f>Total!K235</f>
        <v>0</v>
      </c>
      <c r="M15" s="47">
        <f>Total!L235</f>
        <v>0</v>
      </c>
      <c r="N15" s="47">
        <f>Total!M235</f>
        <v>0</v>
      </c>
      <c r="O15" s="139">
        <f>Total!N235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Total!B266</f>
        <v>412</v>
      </c>
      <c r="D16" s="12">
        <f>Total!C266</f>
        <v>136</v>
      </c>
      <c r="E16" s="12">
        <f>Total!D266</f>
        <v>23</v>
      </c>
      <c r="F16" s="12">
        <f>Total!E266</f>
        <v>21</v>
      </c>
      <c r="G16" s="47">
        <f>Total!F266</f>
        <v>0</v>
      </c>
      <c r="H16" s="47">
        <f>Total!G266</f>
        <v>0</v>
      </c>
      <c r="I16" s="47">
        <f>Total!H266</f>
        <v>0</v>
      </c>
      <c r="J16" s="47">
        <f>Total!I266</f>
        <v>0</v>
      </c>
      <c r="K16" s="47">
        <f>Total!J266</f>
        <v>0</v>
      </c>
      <c r="L16" s="47">
        <f>Total!K266</f>
        <v>0</v>
      </c>
      <c r="M16" s="47">
        <f>Total!L266</f>
        <v>0</v>
      </c>
      <c r="N16" s="47">
        <f>Total!M266</f>
        <v>0</v>
      </c>
      <c r="O16" s="139">
        <f>Total!N266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Total!B297</f>
        <v>519</v>
      </c>
      <c r="D17" s="12">
        <f>Total!C297</f>
        <v>113</v>
      </c>
      <c r="E17" s="12">
        <f>Total!D297</f>
        <v>25</v>
      </c>
      <c r="F17" s="12">
        <f>Total!E297</f>
        <v>16</v>
      </c>
      <c r="G17" s="47">
        <f>Total!F297</f>
        <v>0</v>
      </c>
      <c r="H17" s="47">
        <f>Total!G297</f>
        <v>0</v>
      </c>
      <c r="I17" s="47">
        <f>Total!H297</f>
        <v>0</v>
      </c>
      <c r="J17" s="47">
        <f>Total!I297</f>
        <v>0</v>
      </c>
      <c r="K17" s="47">
        <f>Total!J297</f>
        <v>0</v>
      </c>
      <c r="L17" s="47">
        <f>Total!K297</f>
        <v>0</v>
      </c>
      <c r="M17" s="47">
        <f>Total!L297</f>
        <v>0</v>
      </c>
      <c r="N17" s="47">
        <f>Total!M297</f>
        <v>0</v>
      </c>
      <c r="O17" s="139">
        <f>Total!N297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Total!B328</f>
        <v>364</v>
      </c>
      <c r="D18" s="12">
        <f>Total!C328</f>
        <v>106</v>
      </c>
      <c r="E18" s="12">
        <f>Total!D328</f>
        <v>52</v>
      </c>
      <c r="F18" s="12">
        <f>Total!E328</f>
        <v>4</v>
      </c>
      <c r="G18" s="47">
        <f>Total!F328</f>
        <v>0</v>
      </c>
      <c r="H18" s="47">
        <f>Total!G328</f>
        <v>0</v>
      </c>
      <c r="I18" s="47">
        <f>Total!H328</f>
        <v>0</v>
      </c>
      <c r="J18" s="47">
        <f>Total!I328</f>
        <v>0</v>
      </c>
      <c r="K18" s="47">
        <f>Total!J328</f>
        <v>0</v>
      </c>
      <c r="L18" s="47">
        <f>Total!K328</f>
        <v>0</v>
      </c>
      <c r="M18" s="47">
        <f>Total!L328</f>
        <v>0</v>
      </c>
      <c r="N18" s="47">
        <f>Total!M328</f>
        <v>0</v>
      </c>
      <c r="O18" s="139">
        <f>Total!N328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v>489</v>
      </c>
      <c r="D19" s="12">
        <v>146</v>
      </c>
      <c r="E19" s="12">
        <v>20</v>
      </c>
      <c r="F19" s="12">
        <v>18</v>
      </c>
      <c r="G19" s="48">
        <f>Total!F359</f>
        <v>0</v>
      </c>
      <c r="H19" s="48">
        <f>Total!G359</f>
        <v>0</v>
      </c>
      <c r="I19" s="48">
        <f>Total!H359</f>
        <v>0</v>
      </c>
      <c r="J19" s="48">
        <f>Total!I359</f>
        <v>0</v>
      </c>
      <c r="K19" s="48">
        <f>Total!J359</f>
        <v>0</v>
      </c>
      <c r="L19" s="48">
        <f>Total!K359</f>
        <v>0</v>
      </c>
      <c r="M19" s="48">
        <f>Total!L359</f>
        <v>0</v>
      </c>
      <c r="N19" s="48">
        <f>Total!M359</f>
        <v>0</v>
      </c>
      <c r="O19" s="48">
        <f>Total!N359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2847</v>
      </c>
      <c r="D20" s="17">
        <f t="shared" si="0"/>
        <v>773</v>
      </c>
      <c r="E20" s="17">
        <f t="shared" si="0"/>
        <v>180</v>
      </c>
      <c r="F20" s="17">
        <f t="shared" si="0"/>
        <v>125</v>
      </c>
      <c r="G20" s="18">
        <f t="shared" si="0"/>
        <v>5623377.3100000005</v>
      </c>
      <c r="H20" s="18">
        <f t="shared" si="0"/>
        <v>776390.74</v>
      </c>
      <c r="I20" s="18">
        <f t="shared" si="0"/>
        <v>2239916.96</v>
      </c>
      <c r="J20" s="18">
        <f t="shared" si="0"/>
        <v>3084784.6299999994</v>
      </c>
      <c r="K20" s="18">
        <f t="shared" si="0"/>
        <v>267939.40999999997</v>
      </c>
      <c r="L20" s="18">
        <f t="shared" si="0"/>
        <v>211948.36000000002</v>
      </c>
      <c r="M20" s="18">
        <f t="shared" si="0"/>
        <v>8131233.6799999997</v>
      </c>
      <c r="N20" s="18">
        <f t="shared" si="0"/>
        <v>4073123.73</v>
      </c>
      <c r="O20" s="30">
        <f t="shared" si="0"/>
        <v>-4058109.9499999997</v>
      </c>
    </row>
    <row r="22" spans="1:15" x14ac:dyDescent="0.25">
      <c r="F22" s="63"/>
    </row>
    <row r="23" spans="1:15" x14ac:dyDescent="0.25">
      <c r="H23" s="64"/>
    </row>
    <row r="24" spans="1:15" x14ac:dyDescent="0.25">
      <c r="B24" t="s">
        <v>73</v>
      </c>
      <c r="C24" s="20"/>
      <c r="G24" s="20">
        <f>SUM(C20:E20)</f>
        <v>3800</v>
      </c>
      <c r="H24" s="20">
        <f>G24-J5</f>
        <v>-5754</v>
      </c>
    </row>
  </sheetData>
  <mergeCells count="22">
    <mergeCell ref="A20:B20"/>
    <mergeCell ref="A19:B19"/>
    <mergeCell ref="A10:B10"/>
    <mergeCell ref="A6:B7"/>
    <mergeCell ref="A13:B13"/>
    <mergeCell ref="A9:B9"/>
    <mergeCell ref="A1:O2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H5:I5"/>
    <mergeCell ref="I6:J6"/>
    <mergeCell ref="A15:B15"/>
    <mergeCell ref="A11:B11"/>
    <mergeCell ref="M6:O6"/>
    <mergeCell ref="A16:B16"/>
  </mergeCells>
  <printOptions horizontalCentered="1"/>
  <pageMargins left="0.11811023622047249" right="0.11811023622047249" top="1.377952755905512" bottom="0.98425196850393704" header="0.31496062992125978" footer="0.31496062992125978"/>
  <pageSetup paperSize="9" scale="8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7">
    <tabColor rgb="FF00B050"/>
  </sheetPr>
  <dimension ref="A1:O24"/>
  <sheetViews>
    <sheetView workbookViewId="0">
      <selection activeCell="P31" sqref="P31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1" customWidth="1"/>
  </cols>
  <sheetData>
    <row r="1" spans="1:15" ht="15.75" customHeight="1" x14ac:dyDescent="0.25">
      <c r="A1" s="198" t="s">
        <v>74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5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15.75" customHeight="1" thickBot="1" x14ac:dyDescent="0.3">
      <c r="A5" s="58"/>
      <c r="B5" s="59"/>
      <c r="C5" s="60"/>
      <c r="D5" s="191" t="s">
        <v>64</v>
      </c>
      <c r="E5" s="173"/>
      <c r="F5" s="173"/>
      <c r="G5" s="61"/>
      <c r="H5" s="191" t="s">
        <v>65</v>
      </c>
      <c r="I5" s="173"/>
      <c r="J5" s="61"/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Total!B19</f>
        <v>0</v>
      </c>
      <c r="D8" s="12">
        <f>Total!C19</f>
        <v>0</v>
      </c>
      <c r="E8" s="12">
        <f>Total!D19</f>
        <v>0</v>
      </c>
      <c r="F8" s="12">
        <f>Total!E19</f>
        <v>0</v>
      </c>
      <c r="G8" s="46">
        <f>Total!F19</f>
        <v>0</v>
      </c>
      <c r="H8" s="46">
        <f>Total!G19</f>
        <v>0</v>
      </c>
      <c r="I8" s="46">
        <f>Total!H19</f>
        <v>0</v>
      </c>
      <c r="J8" s="46">
        <f>Total!I19</f>
        <v>0</v>
      </c>
      <c r="K8" s="46">
        <f>Total!J19</f>
        <v>0</v>
      </c>
      <c r="L8" s="46">
        <f>Total!K19</f>
        <v>0</v>
      </c>
      <c r="M8" s="46">
        <f>Total!L19</f>
        <v>0</v>
      </c>
      <c r="N8" s="46">
        <f>Total!M19</f>
        <v>0</v>
      </c>
      <c r="O8" s="46">
        <f>Total!N19</f>
        <v>0</v>
      </c>
    </row>
    <row r="9" spans="1:15" s="13" customFormat="1" ht="16.5" customHeight="1" x14ac:dyDescent="0.25">
      <c r="A9" s="188" t="s">
        <v>43</v>
      </c>
      <c r="B9" s="189"/>
      <c r="C9" s="12">
        <f>Total!B50</f>
        <v>0</v>
      </c>
      <c r="D9" s="12">
        <f>Total!C50</f>
        <v>0</v>
      </c>
      <c r="E9" s="12">
        <f>Total!D50</f>
        <v>0</v>
      </c>
      <c r="F9" s="12">
        <f>Total!E50</f>
        <v>0</v>
      </c>
      <c r="G9" s="47">
        <f>Total!F50</f>
        <v>0</v>
      </c>
      <c r="H9" s="47">
        <f>Total!G50</f>
        <v>0</v>
      </c>
      <c r="I9" s="47">
        <f>Total!H50</f>
        <v>0</v>
      </c>
      <c r="J9" s="47">
        <f>Total!I50</f>
        <v>0</v>
      </c>
      <c r="K9" s="47">
        <f>Total!J50</f>
        <v>0</v>
      </c>
      <c r="L9" s="47">
        <f>Total!K50</f>
        <v>0</v>
      </c>
      <c r="M9" s="47">
        <f>Total!L50</f>
        <v>0</v>
      </c>
      <c r="N9" s="47">
        <f>Total!M50</f>
        <v>0</v>
      </c>
      <c r="O9" s="47">
        <f>Total!N50</f>
        <v>0</v>
      </c>
    </row>
    <row r="10" spans="1:15" s="13" customFormat="1" ht="16.5" customHeight="1" x14ac:dyDescent="0.25">
      <c r="A10" s="188" t="s">
        <v>44</v>
      </c>
      <c r="B10" s="189"/>
      <c r="C10" s="12">
        <f>Total!B81</f>
        <v>0</v>
      </c>
      <c r="D10" s="12">
        <f>Total!C81</f>
        <v>0</v>
      </c>
      <c r="E10" s="12">
        <f>Total!D81</f>
        <v>0</v>
      </c>
      <c r="F10" s="12">
        <f>Total!E81</f>
        <v>0</v>
      </c>
      <c r="G10" s="47">
        <f>Total!F81</f>
        <v>0</v>
      </c>
      <c r="H10" s="47">
        <f>Total!G81</f>
        <v>0</v>
      </c>
      <c r="I10" s="47">
        <f>Total!H81</f>
        <v>0</v>
      </c>
      <c r="J10" s="47">
        <f>Total!I81</f>
        <v>0</v>
      </c>
      <c r="K10" s="47">
        <f>Total!J81</f>
        <v>0</v>
      </c>
      <c r="L10" s="47">
        <f>Total!K81</f>
        <v>0</v>
      </c>
      <c r="M10" s="47">
        <f>Total!L81</f>
        <v>0</v>
      </c>
      <c r="N10" s="47">
        <f>Total!M81</f>
        <v>0</v>
      </c>
      <c r="O10" s="47">
        <f>Total!N81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Total!B112</f>
        <v>0</v>
      </c>
      <c r="D11" s="12">
        <f>Total!C112</f>
        <v>0</v>
      </c>
      <c r="E11" s="12">
        <f>Total!D112</f>
        <v>0</v>
      </c>
      <c r="F11" s="12">
        <f>Total!E112</f>
        <v>0</v>
      </c>
      <c r="G11" s="47">
        <f>Total!F112</f>
        <v>0</v>
      </c>
      <c r="H11" s="47">
        <f>Total!G112</f>
        <v>0</v>
      </c>
      <c r="I11" s="47">
        <f>Total!H112</f>
        <v>0</v>
      </c>
      <c r="J11" s="47">
        <f>Total!I112</f>
        <v>0</v>
      </c>
      <c r="K11" s="47">
        <f>Total!J112</f>
        <v>0</v>
      </c>
      <c r="L11" s="47">
        <f>Total!K112</f>
        <v>0</v>
      </c>
      <c r="M11" s="47">
        <f>Total!L112</f>
        <v>0</v>
      </c>
      <c r="N11" s="47">
        <f>Total!M112</f>
        <v>0</v>
      </c>
      <c r="O11" s="47">
        <f>Total!N112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Total!B143</f>
        <v>0</v>
      </c>
      <c r="D12" s="12">
        <f>Total!C143</f>
        <v>0</v>
      </c>
      <c r="E12" s="12">
        <f>Total!D143</f>
        <v>0</v>
      </c>
      <c r="F12" s="12">
        <f>Total!E143</f>
        <v>0</v>
      </c>
      <c r="G12" s="47">
        <f>Total!F143</f>
        <v>0</v>
      </c>
      <c r="H12" s="47">
        <f>Total!G143</f>
        <v>0</v>
      </c>
      <c r="I12" s="47">
        <f>Total!H143</f>
        <v>0</v>
      </c>
      <c r="J12" s="47">
        <f>Total!I143</f>
        <v>0</v>
      </c>
      <c r="K12" s="47">
        <f>Total!J143</f>
        <v>0</v>
      </c>
      <c r="L12" s="47">
        <f>Total!K143</f>
        <v>0</v>
      </c>
      <c r="M12" s="47">
        <f>Total!L143</f>
        <v>0</v>
      </c>
      <c r="N12" s="47">
        <f>Total!M143</f>
        <v>0</v>
      </c>
      <c r="O12" s="47">
        <f>Total!N143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Total!B174</f>
        <v>0</v>
      </c>
      <c r="D13" s="12">
        <f>Total!C174</f>
        <v>0</v>
      </c>
      <c r="E13" s="12">
        <f>Total!D174</f>
        <v>0</v>
      </c>
      <c r="F13" s="12">
        <f>Total!E174</f>
        <v>0</v>
      </c>
      <c r="G13" s="47">
        <f>Total!F174</f>
        <v>0</v>
      </c>
      <c r="H13" s="47">
        <f>Total!G174</f>
        <v>0</v>
      </c>
      <c r="I13" s="47">
        <f>Total!H174</f>
        <v>0</v>
      </c>
      <c r="J13" s="47">
        <f>Total!I174</f>
        <v>0</v>
      </c>
      <c r="K13" s="47">
        <f>Total!J174</f>
        <v>0</v>
      </c>
      <c r="L13" s="47">
        <f>Total!K174</f>
        <v>0</v>
      </c>
      <c r="M13" s="47">
        <f>Total!L174</f>
        <v>0</v>
      </c>
      <c r="N13" s="47">
        <f>Total!M174</f>
        <v>0</v>
      </c>
      <c r="O13" s="47">
        <f>Total!N174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Total!B205</f>
        <v>0</v>
      </c>
      <c r="D14" s="12">
        <f>Total!C205</f>
        <v>0</v>
      </c>
      <c r="E14" s="12">
        <f>Total!D205</f>
        <v>0</v>
      </c>
      <c r="F14" s="12">
        <f>Total!E205</f>
        <v>0</v>
      </c>
      <c r="G14" s="47">
        <f>Total!F205</f>
        <v>0</v>
      </c>
      <c r="H14" s="47">
        <f>Total!G205</f>
        <v>0</v>
      </c>
      <c r="I14" s="47">
        <f>Total!H205</f>
        <v>0</v>
      </c>
      <c r="J14" s="47">
        <f>Total!I205</f>
        <v>0</v>
      </c>
      <c r="K14" s="47">
        <f>Total!J205</f>
        <v>0</v>
      </c>
      <c r="L14" s="47">
        <f>Total!K205</f>
        <v>0</v>
      </c>
      <c r="M14" s="47">
        <f>Total!L205</f>
        <v>0</v>
      </c>
      <c r="N14" s="47">
        <f>Total!M205</f>
        <v>0</v>
      </c>
      <c r="O14" s="47">
        <f>Total!N205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Total!B236</f>
        <v>0</v>
      </c>
      <c r="D15" s="12">
        <f>Total!C236</f>
        <v>0</v>
      </c>
      <c r="E15" s="12">
        <f>Total!D236</f>
        <v>0</v>
      </c>
      <c r="F15" s="12">
        <f>Total!E236</f>
        <v>0</v>
      </c>
      <c r="G15" s="47">
        <f>Total!F236</f>
        <v>0</v>
      </c>
      <c r="H15" s="47">
        <f>Total!G236</f>
        <v>0</v>
      </c>
      <c r="I15" s="47">
        <f>Total!H236</f>
        <v>0</v>
      </c>
      <c r="J15" s="47">
        <f>Total!I236</f>
        <v>0</v>
      </c>
      <c r="K15" s="47">
        <f>Total!J236</f>
        <v>0</v>
      </c>
      <c r="L15" s="47">
        <f>Total!K236</f>
        <v>0</v>
      </c>
      <c r="M15" s="47">
        <f>Total!L236</f>
        <v>0</v>
      </c>
      <c r="N15" s="47">
        <f>Total!M236</f>
        <v>0</v>
      </c>
      <c r="O15" s="47">
        <f>Total!N236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Total!B267</f>
        <v>0</v>
      </c>
      <c r="D16" s="12">
        <f>Total!C267</f>
        <v>0</v>
      </c>
      <c r="E16" s="12">
        <f>Total!D267</f>
        <v>0</v>
      </c>
      <c r="F16" s="12">
        <f>Total!E267</f>
        <v>0</v>
      </c>
      <c r="G16" s="47">
        <f>Total!F267</f>
        <v>0</v>
      </c>
      <c r="H16" s="47">
        <f>Total!G267</f>
        <v>0</v>
      </c>
      <c r="I16" s="47">
        <f>Total!H267</f>
        <v>0</v>
      </c>
      <c r="J16" s="47">
        <f>Total!I267</f>
        <v>0</v>
      </c>
      <c r="K16" s="47">
        <f>Total!J267</f>
        <v>0</v>
      </c>
      <c r="L16" s="47">
        <f>Total!K267</f>
        <v>0</v>
      </c>
      <c r="M16" s="47">
        <f>Total!L267</f>
        <v>0</v>
      </c>
      <c r="N16" s="47">
        <f>Total!M267</f>
        <v>0</v>
      </c>
      <c r="O16" s="47">
        <f>Total!N267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Total!B298</f>
        <v>0</v>
      </c>
      <c r="D17" s="12">
        <f>Total!C298</f>
        <v>0</v>
      </c>
      <c r="E17" s="12">
        <f>Total!D298</f>
        <v>0</v>
      </c>
      <c r="F17" s="12">
        <f>Total!E298</f>
        <v>0</v>
      </c>
      <c r="G17" s="47">
        <f>Total!F298</f>
        <v>0</v>
      </c>
      <c r="H17" s="47">
        <f>Total!G298</f>
        <v>0</v>
      </c>
      <c r="I17" s="47">
        <f>Total!H298</f>
        <v>0</v>
      </c>
      <c r="J17" s="47">
        <f>Total!I298</f>
        <v>0</v>
      </c>
      <c r="K17" s="47">
        <f>Total!J298</f>
        <v>0</v>
      </c>
      <c r="L17" s="47">
        <f>Total!K298</f>
        <v>0</v>
      </c>
      <c r="M17" s="47">
        <f>Total!L298</f>
        <v>0</v>
      </c>
      <c r="N17" s="47">
        <f>Total!M298</f>
        <v>0</v>
      </c>
      <c r="O17" s="47">
        <f>Total!N298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Total!B329</f>
        <v>0</v>
      </c>
      <c r="D18" s="12">
        <f>Total!C329</f>
        <v>0</v>
      </c>
      <c r="E18" s="12">
        <f>Total!D329</f>
        <v>0</v>
      </c>
      <c r="F18" s="12">
        <f>Total!E329</f>
        <v>0</v>
      </c>
      <c r="G18" s="47">
        <f>Total!F329</f>
        <v>0</v>
      </c>
      <c r="H18" s="47">
        <f>Total!G329</f>
        <v>0</v>
      </c>
      <c r="I18" s="47">
        <f>Total!H329</f>
        <v>0</v>
      </c>
      <c r="J18" s="47">
        <f>Total!I329</f>
        <v>0</v>
      </c>
      <c r="K18" s="47">
        <f>Total!J329</f>
        <v>0</v>
      </c>
      <c r="L18" s="47">
        <f>Total!K329</f>
        <v>0</v>
      </c>
      <c r="M18" s="47">
        <f>Total!L329</f>
        <v>0</v>
      </c>
      <c r="N18" s="47">
        <f>Total!M329</f>
        <v>0</v>
      </c>
      <c r="O18" s="47">
        <f>Total!N329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Total!B360</f>
        <v>0</v>
      </c>
      <c r="D19" s="12">
        <f>Total!C360</f>
        <v>0</v>
      </c>
      <c r="E19" s="12">
        <f>Total!D360</f>
        <v>0</v>
      </c>
      <c r="F19" s="12">
        <f>Total!E360</f>
        <v>0</v>
      </c>
      <c r="G19" s="48">
        <f>Total!F360</f>
        <v>0</v>
      </c>
      <c r="H19" s="48">
        <f>Total!G360</f>
        <v>0</v>
      </c>
      <c r="I19" s="48">
        <f>Total!H360</f>
        <v>0</v>
      </c>
      <c r="J19" s="48">
        <f>Total!I360</f>
        <v>0</v>
      </c>
      <c r="K19" s="48">
        <f>Total!J360</f>
        <v>0</v>
      </c>
      <c r="L19" s="48">
        <f>Total!K360</f>
        <v>0</v>
      </c>
      <c r="M19" s="48">
        <f>Total!L360</f>
        <v>0</v>
      </c>
      <c r="N19" s="48">
        <f>Total!M360</f>
        <v>0</v>
      </c>
      <c r="O19" s="48">
        <f>Total!N360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C24" s="20"/>
      <c r="G24" s="20"/>
      <c r="H24" s="20"/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9">
    <tabColor rgb="FF00B050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2" width="11.28515625" bestFit="1" customWidth="1"/>
    <col min="13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convenio'!$O$29</f>
        <v>137</v>
      </c>
      <c r="H5" s="191" t="s">
        <v>65</v>
      </c>
      <c r="I5" s="173"/>
      <c r="J5" s="61">
        <f>'[3]intern. diaria convenio'!$O$75</f>
        <v>496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Total!B21</f>
        <v>0</v>
      </c>
      <c r="D8" s="12">
        <f>Total!C21</f>
        <v>0</v>
      </c>
      <c r="E8" s="12">
        <f>Total!D21</f>
        <v>0</v>
      </c>
      <c r="F8" s="12">
        <f>Total!E21</f>
        <v>0</v>
      </c>
      <c r="G8" s="46">
        <f>Total!F21</f>
        <v>22149.98</v>
      </c>
      <c r="H8" s="46">
        <f>Total!G21</f>
        <v>49385.02</v>
      </c>
      <c r="I8" s="46">
        <f>Total!H21</f>
        <v>31881.200000000001</v>
      </c>
      <c r="J8" s="46">
        <f>Total!I21</f>
        <v>23571</v>
      </c>
      <c r="K8" s="46">
        <f>Total!J21</f>
        <v>34291.550000000003</v>
      </c>
      <c r="L8" s="46">
        <f>Total!K21</f>
        <v>32294.95</v>
      </c>
      <c r="M8" s="46">
        <f>Total!L21</f>
        <v>88322.73000000001</v>
      </c>
      <c r="N8" s="46">
        <f>Total!M21</f>
        <v>105250.96999999999</v>
      </c>
      <c r="O8" s="46">
        <f>Total!N21</f>
        <v>16928.239999999976</v>
      </c>
    </row>
    <row r="9" spans="1:15" s="13" customFormat="1" ht="16.5" customHeight="1" x14ac:dyDescent="0.25">
      <c r="A9" s="188" t="s">
        <v>43</v>
      </c>
      <c r="B9" s="189"/>
      <c r="C9" s="12">
        <f>Total!B52</f>
        <v>0</v>
      </c>
      <c r="D9" s="12">
        <f>Total!C52</f>
        <v>0</v>
      </c>
      <c r="E9" s="12">
        <f>Total!D52</f>
        <v>0</v>
      </c>
      <c r="F9" s="12">
        <f>Total!E52</f>
        <v>0</v>
      </c>
      <c r="G9" s="47">
        <f>Total!F52</f>
        <v>41605.85</v>
      </c>
      <c r="H9" s="47">
        <f>Total!G52</f>
        <v>19228.78</v>
      </c>
      <c r="I9" s="47">
        <f>Total!H52</f>
        <v>24397.35</v>
      </c>
      <c r="J9" s="47">
        <f>Total!I52</f>
        <v>18054</v>
      </c>
      <c r="K9" s="47">
        <f>Total!J52</f>
        <v>9029.7900000000009</v>
      </c>
      <c r="L9" s="47">
        <f>Total!K52</f>
        <v>14398.96</v>
      </c>
      <c r="M9" s="47">
        <f>Total!L52</f>
        <v>75032.989999999991</v>
      </c>
      <c r="N9" s="47">
        <f>Total!M52</f>
        <v>51681.74</v>
      </c>
      <c r="O9" s="47">
        <f>Total!N52</f>
        <v>-23351.249999999993</v>
      </c>
    </row>
    <row r="10" spans="1:15" s="13" customFormat="1" ht="16.5" customHeight="1" x14ac:dyDescent="0.25">
      <c r="A10" s="188" t="s">
        <v>44</v>
      </c>
      <c r="B10" s="189"/>
      <c r="C10" s="12">
        <f>Total!B83</f>
        <v>0</v>
      </c>
      <c r="D10" s="12">
        <f>Total!C83</f>
        <v>0</v>
      </c>
      <c r="E10" s="12">
        <f>Total!D83</f>
        <v>0</v>
      </c>
      <c r="F10" s="12">
        <f>Total!E83</f>
        <v>0</v>
      </c>
      <c r="G10" s="47">
        <f>Total!F83</f>
        <v>21200.04</v>
      </c>
      <c r="H10" s="47">
        <f>Total!G83</f>
        <v>67059.070000000007</v>
      </c>
      <c r="I10" s="47">
        <f>Total!H83</f>
        <v>58977.25</v>
      </c>
      <c r="J10" s="47">
        <f>Total!I83</f>
        <v>46173</v>
      </c>
      <c r="K10" s="47">
        <f>Total!J83</f>
        <v>20237.009999999998</v>
      </c>
      <c r="L10" s="47">
        <f>Total!K83</f>
        <v>36170.92</v>
      </c>
      <c r="M10" s="47">
        <f>Total!L83</f>
        <v>100414.3</v>
      </c>
      <c r="N10" s="47">
        <f>Total!M83</f>
        <v>149402.99</v>
      </c>
      <c r="O10" s="47">
        <f>Total!N83</f>
        <v>48988.689999999988</v>
      </c>
    </row>
    <row r="11" spans="1:15" s="13" customFormat="1" ht="16.5" customHeight="1" x14ac:dyDescent="0.25">
      <c r="A11" s="188" t="s">
        <v>45</v>
      </c>
      <c r="B11" s="189"/>
      <c r="C11" s="12">
        <f>Total!B114</f>
        <v>0</v>
      </c>
      <c r="D11" s="12">
        <f>Total!C114</f>
        <v>0</v>
      </c>
      <c r="E11" s="12">
        <f>Total!D114</f>
        <v>0</v>
      </c>
      <c r="F11" s="12">
        <f>Total!E114</f>
        <v>0</v>
      </c>
      <c r="G11" s="47">
        <f>Total!F114</f>
        <v>32249.99</v>
      </c>
      <c r="H11" s="47">
        <f>Total!G114</f>
        <v>86052.08</v>
      </c>
      <c r="I11" s="47">
        <f>Total!H114</f>
        <v>38276.199999999997</v>
      </c>
      <c r="J11" s="47">
        <f>Total!I114</f>
        <v>33730</v>
      </c>
      <c r="K11" s="47">
        <f>Total!J114</f>
        <v>18150.84</v>
      </c>
      <c r="L11" s="47">
        <f>Total!K114</f>
        <v>58425.54</v>
      </c>
      <c r="M11" s="47">
        <f>Total!L114</f>
        <v>88677.03</v>
      </c>
      <c r="N11" s="47">
        <f>Total!M114</f>
        <v>178207.62</v>
      </c>
      <c r="O11" s="47">
        <f>Total!N114</f>
        <v>89530.59</v>
      </c>
    </row>
    <row r="12" spans="1:15" s="13" customFormat="1" ht="16.5" customHeight="1" x14ac:dyDescent="0.25">
      <c r="A12" s="188" t="s">
        <v>46</v>
      </c>
      <c r="B12" s="189"/>
      <c r="C12" s="12">
        <f>Total!B145</f>
        <v>0</v>
      </c>
      <c r="D12" s="12">
        <f>Total!C145</f>
        <v>0</v>
      </c>
      <c r="E12" s="12">
        <f>Total!D145</f>
        <v>0</v>
      </c>
      <c r="F12" s="12">
        <f>Total!E145</f>
        <v>0</v>
      </c>
      <c r="G12" s="47">
        <f>Total!F145</f>
        <v>2831835.23</v>
      </c>
      <c r="H12" s="47">
        <f>Total!G145</f>
        <v>90222.88</v>
      </c>
      <c r="I12" s="47">
        <f>Total!H145</f>
        <v>67866.59</v>
      </c>
      <c r="J12" s="47">
        <f>Total!I145</f>
        <v>59523</v>
      </c>
      <c r="K12" s="47">
        <f>Total!J145</f>
        <v>28561.22</v>
      </c>
      <c r="L12" s="47">
        <f>Total!K145</f>
        <v>48687.83</v>
      </c>
      <c r="M12" s="47">
        <f>Total!L145</f>
        <v>2928263.04</v>
      </c>
      <c r="N12" s="47">
        <f>Total!M145</f>
        <v>198433.71000000002</v>
      </c>
      <c r="O12" s="47">
        <f>Total!N145</f>
        <v>-2729829.33</v>
      </c>
    </row>
    <row r="13" spans="1:15" s="13" customFormat="1" ht="16.5" customHeight="1" x14ac:dyDescent="0.25">
      <c r="A13" s="188" t="s">
        <v>47</v>
      </c>
      <c r="B13" s="189"/>
      <c r="C13" s="12">
        <f>Total!B176</f>
        <v>0</v>
      </c>
      <c r="D13" s="12">
        <f>Total!C176</f>
        <v>0</v>
      </c>
      <c r="E13" s="12">
        <f>Total!D176</f>
        <v>0</v>
      </c>
      <c r="F13" s="12">
        <f>Total!E176</f>
        <v>0</v>
      </c>
      <c r="G13" s="47">
        <f>Total!F176</f>
        <v>30730.76</v>
      </c>
      <c r="H13" s="47">
        <f>Total!G176</f>
        <v>35229.870000000003</v>
      </c>
      <c r="I13" s="47">
        <f>Total!H176</f>
        <v>22633.5</v>
      </c>
      <c r="J13" s="47">
        <f>Total!I176</f>
        <v>19445</v>
      </c>
      <c r="K13" s="47">
        <f>Total!J176</f>
        <v>5789.14</v>
      </c>
      <c r="L13" s="47">
        <f>Total!K176</f>
        <v>12337.35</v>
      </c>
      <c r="M13" s="47">
        <f>Total!L176</f>
        <v>59153.399999999994</v>
      </c>
      <c r="N13" s="47">
        <f>Total!M176</f>
        <v>67012.22</v>
      </c>
      <c r="O13" s="47">
        <f>Total!N176</f>
        <v>7858.820000000007</v>
      </c>
    </row>
    <row r="14" spans="1:15" s="13" customFormat="1" ht="16.5" customHeight="1" x14ac:dyDescent="0.25">
      <c r="A14" s="188" t="s">
        <v>48</v>
      </c>
      <c r="B14" s="189"/>
      <c r="C14" s="12">
        <f>Total!B207</f>
        <v>41</v>
      </c>
      <c r="D14" s="12">
        <f>Total!C207</f>
        <v>3</v>
      </c>
      <c r="E14" s="12">
        <f>Total!D207</f>
        <v>6</v>
      </c>
      <c r="F14" s="12">
        <f>Total!E207</f>
        <v>2</v>
      </c>
      <c r="G14" s="47">
        <f>Total!F207</f>
        <v>0</v>
      </c>
      <c r="H14" s="47">
        <f>Total!G207</f>
        <v>0</v>
      </c>
      <c r="I14" s="47">
        <f>Total!H207</f>
        <v>0</v>
      </c>
      <c r="J14" s="47">
        <f>Total!I207</f>
        <v>0</v>
      </c>
      <c r="K14" s="47">
        <f>Total!J207</f>
        <v>0</v>
      </c>
      <c r="L14" s="47">
        <f>Total!K207</f>
        <v>0</v>
      </c>
      <c r="M14" s="47">
        <f>Total!L207</f>
        <v>0</v>
      </c>
      <c r="N14" s="47">
        <f>Total!M207</f>
        <v>0</v>
      </c>
      <c r="O14" s="47">
        <f>Total!N207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Total!B238</f>
        <v>67</v>
      </c>
      <c r="D15" s="12">
        <f>Total!C238</f>
        <v>14</v>
      </c>
      <c r="E15" s="12">
        <f>Total!D238</f>
        <v>0</v>
      </c>
      <c r="F15" s="12">
        <f>Total!E238</f>
        <v>1</v>
      </c>
      <c r="G15" s="47">
        <f>Total!F238</f>
        <v>0</v>
      </c>
      <c r="H15" s="47">
        <f>Total!G238</f>
        <v>0</v>
      </c>
      <c r="I15" s="47">
        <f>Total!H238</f>
        <v>0</v>
      </c>
      <c r="J15" s="47">
        <f>Total!I238</f>
        <v>0</v>
      </c>
      <c r="K15" s="47">
        <f>Total!J238</f>
        <v>0</v>
      </c>
      <c r="L15" s="47">
        <f>Total!K238</f>
        <v>0</v>
      </c>
      <c r="M15" s="47">
        <f>Total!L238</f>
        <v>0</v>
      </c>
      <c r="N15" s="47">
        <f>Total!M238</f>
        <v>0</v>
      </c>
      <c r="O15" s="47">
        <f>Total!N238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Total!B269</f>
        <v>49</v>
      </c>
      <c r="D16" s="12">
        <f>Total!C269</f>
        <v>2</v>
      </c>
      <c r="E16" s="12">
        <f>Total!D269</f>
        <v>0</v>
      </c>
      <c r="F16" s="12">
        <f>Total!E269</f>
        <v>1</v>
      </c>
      <c r="G16" s="47">
        <f>Total!F269</f>
        <v>0</v>
      </c>
      <c r="H16" s="47">
        <f>Total!G269</f>
        <v>0</v>
      </c>
      <c r="I16" s="47">
        <f>Total!H269</f>
        <v>0</v>
      </c>
      <c r="J16" s="47">
        <f>Total!I269</f>
        <v>0</v>
      </c>
      <c r="K16" s="47">
        <f>Total!J269</f>
        <v>0</v>
      </c>
      <c r="L16" s="47">
        <f>Total!K269</f>
        <v>0</v>
      </c>
      <c r="M16" s="47">
        <f>Total!L269</f>
        <v>0</v>
      </c>
      <c r="N16" s="47">
        <f>Total!M269</f>
        <v>0</v>
      </c>
      <c r="O16" s="47">
        <f>Total!N269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Total!B300</f>
        <v>34</v>
      </c>
      <c r="D17" s="12">
        <f>Total!C300</f>
        <v>6</v>
      </c>
      <c r="E17" s="12">
        <f>Total!D300</f>
        <v>0</v>
      </c>
      <c r="F17" s="12">
        <f>Total!E300</f>
        <v>2</v>
      </c>
      <c r="G17" s="47">
        <f>Total!F300</f>
        <v>0</v>
      </c>
      <c r="H17" s="47">
        <f>Total!G300</f>
        <v>0</v>
      </c>
      <c r="I17" s="47">
        <f>Total!H300</f>
        <v>0</v>
      </c>
      <c r="J17" s="47">
        <f>Total!I300</f>
        <v>0</v>
      </c>
      <c r="K17" s="47">
        <f>Total!J300</f>
        <v>0</v>
      </c>
      <c r="L17" s="47">
        <f>Total!K300</f>
        <v>0</v>
      </c>
      <c r="M17" s="47">
        <f>Total!L300</f>
        <v>0</v>
      </c>
      <c r="N17" s="47">
        <f>Total!M300</f>
        <v>0</v>
      </c>
      <c r="O17" s="47">
        <f>Total!N300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Total!B331</f>
        <v>38</v>
      </c>
      <c r="D18" s="12">
        <f>Total!C331</f>
        <v>3</v>
      </c>
      <c r="E18" s="12">
        <f>Total!D331</f>
        <v>0</v>
      </c>
      <c r="F18" s="12">
        <f>Total!E331</f>
        <v>0</v>
      </c>
      <c r="G18" s="47">
        <f>Total!F331</f>
        <v>0</v>
      </c>
      <c r="H18" s="47">
        <f>Total!G331</f>
        <v>0</v>
      </c>
      <c r="I18" s="47">
        <f>Total!H331</f>
        <v>0</v>
      </c>
      <c r="J18" s="47">
        <f>Total!I331</f>
        <v>0</v>
      </c>
      <c r="K18" s="47">
        <f>Total!J331</f>
        <v>0</v>
      </c>
      <c r="L18" s="47">
        <f>Total!K331</f>
        <v>0</v>
      </c>
      <c r="M18" s="47">
        <f>Total!L331</f>
        <v>0</v>
      </c>
      <c r="N18" s="47">
        <f>Total!M331</f>
        <v>0</v>
      </c>
      <c r="O18" s="47">
        <f>Total!N331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Total!B362</f>
        <v>0</v>
      </c>
      <c r="D19" s="12">
        <f>Total!C362</f>
        <v>0</v>
      </c>
      <c r="E19" s="12">
        <f>Total!D362</f>
        <v>0</v>
      </c>
      <c r="F19" s="12">
        <f>Total!E362</f>
        <v>0</v>
      </c>
      <c r="G19" s="48">
        <f>Total!F362</f>
        <v>0</v>
      </c>
      <c r="H19" s="48">
        <f>Total!G362</f>
        <v>0</v>
      </c>
      <c r="I19" s="48">
        <f>Total!H362</f>
        <v>0</v>
      </c>
      <c r="J19" s="48">
        <f>Total!I362</f>
        <v>0</v>
      </c>
      <c r="K19" s="48">
        <f>Total!J362</f>
        <v>0</v>
      </c>
      <c r="L19" s="48">
        <f>Total!K362</f>
        <v>0</v>
      </c>
      <c r="M19" s="48">
        <f>Total!L362</f>
        <v>0</v>
      </c>
      <c r="N19" s="48">
        <f>Total!M362</f>
        <v>0</v>
      </c>
      <c r="O19" s="48">
        <f>Total!N362</f>
        <v>0</v>
      </c>
    </row>
    <row r="20" spans="1:15" s="13" customFormat="1" ht="24.95" customHeight="1" thickBot="1" x14ac:dyDescent="0.3">
      <c r="A20" s="195" t="s">
        <v>72</v>
      </c>
      <c r="B20" s="187"/>
      <c r="C20" s="17">
        <f t="shared" ref="C20:O20" si="0">SUM(C8:C19)</f>
        <v>229</v>
      </c>
      <c r="D20" s="17">
        <f t="shared" si="0"/>
        <v>28</v>
      </c>
      <c r="E20" s="17">
        <f t="shared" si="0"/>
        <v>6</v>
      </c>
      <c r="F20" s="17">
        <f t="shared" si="0"/>
        <v>6</v>
      </c>
      <c r="G20" s="18">
        <f t="shared" si="0"/>
        <v>2979771.8499999996</v>
      </c>
      <c r="H20" s="18">
        <f t="shared" si="0"/>
        <v>347177.7</v>
      </c>
      <c r="I20" s="18">
        <f t="shared" si="0"/>
        <v>244032.09</v>
      </c>
      <c r="J20" s="18">
        <f t="shared" si="0"/>
        <v>200496</v>
      </c>
      <c r="K20" s="18">
        <f t="shared" si="0"/>
        <v>116059.55</v>
      </c>
      <c r="L20" s="18">
        <f t="shared" si="0"/>
        <v>202315.55000000002</v>
      </c>
      <c r="M20" s="18">
        <f t="shared" si="0"/>
        <v>3339863.4899999998</v>
      </c>
      <c r="N20" s="18">
        <f t="shared" si="0"/>
        <v>749989.25</v>
      </c>
      <c r="O20" s="30">
        <f t="shared" si="0"/>
        <v>-2589874.2400000002</v>
      </c>
    </row>
    <row r="24" spans="1:15" x14ac:dyDescent="0.25">
      <c r="B24" t="s">
        <v>73</v>
      </c>
      <c r="C24" s="20"/>
      <c r="G24" s="20">
        <f>SUM(C20:E20)</f>
        <v>263</v>
      </c>
      <c r="H24" s="20">
        <f>G24-J5</f>
        <v>-233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22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7" width="11.7109375" customWidth="1"/>
    <col min="8" max="11" width="12.85546875" bestFit="1" customWidth="1"/>
    <col min="12" max="12" width="11.7109375" customWidth="1"/>
    <col min="13" max="13" width="12.85546875" bestFit="1" customWidth="1"/>
    <col min="14" max="14" width="11.5703125" bestFit="1" customWidth="1"/>
    <col min="15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convenio'!$O$32</f>
        <v>12</v>
      </c>
      <c r="H5" s="191" t="s">
        <v>65</v>
      </c>
      <c r="I5" s="173"/>
      <c r="J5" s="61">
        <f>'[3]intern. diaria convenio'!$O$78</f>
        <v>13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Total!B24</f>
        <v>0</v>
      </c>
      <c r="D8" s="12">
        <f>Total!C24</f>
        <v>0</v>
      </c>
      <c r="E8" s="12">
        <f>Total!D24</f>
        <v>0</v>
      </c>
      <c r="F8" s="12">
        <f>Total!E24</f>
        <v>0</v>
      </c>
      <c r="G8" s="46">
        <f>Total!F24</f>
        <v>44.83</v>
      </c>
      <c r="H8" s="46">
        <f>Total!G24</f>
        <v>439.88</v>
      </c>
      <c r="I8" s="46">
        <f>Total!H24</f>
        <v>0</v>
      </c>
      <c r="J8" s="46">
        <f>Total!I24</f>
        <v>0</v>
      </c>
      <c r="K8" s="46">
        <f>Total!J24</f>
        <v>494.61</v>
      </c>
      <c r="L8" s="46">
        <f>Total!K24</f>
        <v>375.49</v>
      </c>
      <c r="M8" s="46">
        <f>Total!L24</f>
        <v>539.44000000000005</v>
      </c>
      <c r="N8" s="46">
        <f>Total!M24</f>
        <v>815.37</v>
      </c>
      <c r="O8" s="46">
        <f>Total!N24</f>
        <v>275.92999999999995</v>
      </c>
    </row>
    <row r="9" spans="1:15" s="13" customFormat="1" ht="16.5" customHeight="1" x14ac:dyDescent="0.25">
      <c r="A9" s="188" t="s">
        <v>43</v>
      </c>
      <c r="B9" s="189"/>
      <c r="C9" s="12">
        <f>Total!B55</f>
        <v>0</v>
      </c>
      <c r="D9" s="12">
        <f>Total!C55</f>
        <v>0</v>
      </c>
      <c r="E9" s="12">
        <f>Total!D55</f>
        <v>0</v>
      </c>
      <c r="F9" s="12">
        <f>Total!E55</f>
        <v>0</v>
      </c>
      <c r="G9" s="47">
        <f>Total!F55</f>
        <v>340.88</v>
      </c>
      <c r="H9" s="47">
        <f>Total!G55</f>
        <v>4104.9799999999996</v>
      </c>
      <c r="I9" s="47">
        <f>Total!H55</f>
        <v>1117.9000000000001</v>
      </c>
      <c r="J9" s="47">
        <f>Total!I55</f>
        <v>481.62</v>
      </c>
      <c r="K9" s="47">
        <f>Total!J55</f>
        <v>3305.56</v>
      </c>
      <c r="L9" s="47">
        <f>Total!K55</f>
        <v>1719.78</v>
      </c>
      <c r="M9" s="47">
        <f>Total!L55</f>
        <v>4764.34</v>
      </c>
      <c r="N9" s="47">
        <f>Total!M55</f>
        <v>6306.3799999999992</v>
      </c>
      <c r="O9" s="47">
        <f>Total!N55</f>
        <v>1542.0399999999991</v>
      </c>
    </row>
    <row r="10" spans="1:15" s="13" customFormat="1" ht="16.5" customHeight="1" x14ac:dyDescent="0.25">
      <c r="A10" s="188" t="s">
        <v>44</v>
      </c>
      <c r="B10" s="189"/>
      <c r="C10" s="12">
        <f>Total!B86</f>
        <v>0</v>
      </c>
      <c r="D10" s="12">
        <f>Total!C86</f>
        <v>0</v>
      </c>
      <c r="E10" s="12">
        <f>Total!D86</f>
        <v>0</v>
      </c>
      <c r="F10" s="12">
        <f>Total!E86</f>
        <v>0</v>
      </c>
      <c r="G10" s="47">
        <f>Total!F86</f>
        <v>1587.94</v>
      </c>
      <c r="H10" s="47">
        <f>Total!G86</f>
        <v>5274.59</v>
      </c>
      <c r="I10" s="47">
        <f>Total!H86</f>
        <v>1132.4000000000001</v>
      </c>
      <c r="J10" s="47">
        <f>Total!I86</f>
        <v>431.1</v>
      </c>
      <c r="K10" s="47">
        <f>Total!J86</f>
        <v>2326.9699999999998</v>
      </c>
      <c r="L10" s="47">
        <f>Total!K86</f>
        <v>1444.29</v>
      </c>
      <c r="M10" s="47">
        <f>Total!L86</f>
        <v>5047.3099999999995</v>
      </c>
      <c r="N10" s="47">
        <f>Total!M86</f>
        <v>7149.9800000000005</v>
      </c>
      <c r="O10" s="47">
        <f>Total!N86</f>
        <v>2102.670000000001</v>
      </c>
    </row>
    <row r="11" spans="1:15" s="13" customFormat="1" ht="16.5" customHeight="1" x14ac:dyDescent="0.25">
      <c r="A11" s="188" t="s">
        <v>45</v>
      </c>
      <c r="B11" s="189"/>
      <c r="C11" s="12">
        <f>Total!B117</f>
        <v>0</v>
      </c>
      <c r="D11" s="12">
        <f>Total!C117</f>
        <v>0</v>
      </c>
      <c r="E11" s="12">
        <f>Total!D117</f>
        <v>0</v>
      </c>
      <c r="F11" s="12">
        <f>Total!E117</f>
        <v>0</v>
      </c>
      <c r="G11" s="47">
        <f>Total!F117</f>
        <v>500.58</v>
      </c>
      <c r="H11" s="47">
        <f>Total!G117</f>
        <v>1576.57</v>
      </c>
      <c r="I11" s="47">
        <f>Total!H117</f>
        <v>573.45000000000005</v>
      </c>
      <c r="J11" s="47">
        <f>Total!I117</f>
        <v>311.3</v>
      </c>
      <c r="K11" s="47">
        <f>Total!J117</f>
        <v>438.08</v>
      </c>
      <c r="L11" s="47">
        <f>Total!K117</f>
        <v>491.03</v>
      </c>
      <c r="M11" s="47">
        <f>Total!L117</f>
        <v>1512.11</v>
      </c>
      <c r="N11" s="47">
        <f>Total!M117</f>
        <v>2378.8999999999996</v>
      </c>
      <c r="O11" s="47">
        <f>Total!N117</f>
        <v>866.78999999999974</v>
      </c>
    </row>
    <row r="12" spans="1:15" s="13" customFormat="1" ht="16.5" customHeight="1" x14ac:dyDescent="0.25">
      <c r="A12" s="188" t="s">
        <v>46</v>
      </c>
      <c r="B12" s="189"/>
      <c r="C12" s="12">
        <f>Total!B148</f>
        <v>0</v>
      </c>
      <c r="D12" s="12">
        <f>Total!C148</f>
        <v>0</v>
      </c>
      <c r="E12" s="12">
        <f>Total!D148</f>
        <v>0</v>
      </c>
      <c r="F12" s="12">
        <f>Total!E148</f>
        <v>0</v>
      </c>
      <c r="G12" s="47">
        <f>Total!F148</f>
        <v>0</v>
      </c>
      <c r="H12" s="47">
        <f>Total!G148</f>
        <v>0</v>
      </c>
      <c r="I12" s="47">
        <f>Total!H148</f>
        <v>0</v>
      </c>
      <c r="J12" s="47">
        <f>Total!I148</f>
        <v>0</v>
      </c>
      <c r="K12" s="47">
        <f>Total!J148</f>
        <v>0</v>
      </c>
      <c r="L12" s="47">
        <f>Total!K148</f>
        <v>0</v>
      </c>
      <c r="M12" s="47">
        <f>Total!L148</f>
        <v>0</v>
      </c>
      <c r="N12" s="47">
        <f>Total!M148</f>
        <v>0</v>
      </c>
      <c r="O12" s="47">
        <f>Total!N148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Total!B179</f>
        <v>0</v>
      </c>
      <c r="D13" s="12">
        <f>Total!C179</f>
        <v>0</v>
      </c>
      <c r="E13" s="12">
        <f>Total!D179</f>
        <v>0</v>
      </c>
      <c r="F13" s="12">
        <f>Total!E179</f>
        <v>0</v>
      </c>
      <c r="G13" s="47">
        <f>Total!F179</f>
        <v>0</v>
      </c>
      <c r="H13" s="47">
        <f>Total!G179</f>
        <v>0</v>
      </c>
      <c r="I13" s="47">
        <f>Total!H179</f>
        <v>0</v>
      </c>
      <c r="J13" s="47">
        <f>Total!I179</f>
        <v>0</v>
      </c>
      <c r="K13" s="47">
        <f>Total!J179</f>
        <v>0</v>
      </c>
      <c r="L13" s="47">
        <f>Total!K179</f>
        <v>0</v>
      </c>
      <c r="M13" s="47">
        <f>Total!L179</f>
        <v>0</v>
      </c>
      <c r="N13" s="47">
        <f>Total!M179</f>
        <v>0</v>
      </c>
      <c r="O13" s="47">
        <f>Total!N179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Total!B210</f>
        <v>0</v>
      </c>
      <c r="D14" s="12">
        <f>Total!C210</f>
        <v>0</v>
      </c>
      <c r="E14" s="12">
        <f>Total!D210</f>
        <v>0</v>
      </c>
      <c r="F14" s="12">
        <f>Total!E210</f>
        <v>0</v>
      </c>
      <c r="G14" s="47">
        <f>Total!F210</f>
        <v>0</v>
      </c>
      <c r="H14" s="47">
        <f>Total!G210</f>
        <v>0</v>
      </c>
      <c r="I14" s="47">
        <f>Total!H210</f>
        <v>0</v>
      </c>
      <c r="J14" s="47">
        <f>Total!I210</f>
        <v>0</v>
      </c>
      <c r="K14" s="47">
        <f>Total!J210</f>
        <v>0</v>
      </c>
      <c r="L14" s="47">
        <f>Total!K210</f>
        <v>0</v>
      </c>
      <c r="M14" s="47">
        <f>Total!L210</f>
        <v>0</v>
      </c>
      <c r="N14" s="47">
        <f>Total!M210</f>
        <v>0</v>
      </c>
      <c r="O14" s="47">
        <f>Total!N210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Total!B241</f>
        <v>0</v>
      </c>
      <c r="D15" s="12">
        <f>Total!C241</f>
        <v>0</v>
      </c>
      <c r="E15" s="12">
        <f>Total!D241</f>
        <v>0</v>
      </c>
      <c r="F15" s="12">
        <f>Total!E241</f>
        <v>0</v>
      </c>
      <c r="G15" s="47">
        <f>Total!F241</f>
        <v>0</v>
      </c>
      <c r="H15" s="47">
        <f>Total!G241</f>
        <v>0</v>
      </c>
      <c r="I15" s="47">
        <f>Total!H241</f>
        <v>0</v>
      </c>
      <c r="J15" s="47">
        <f>Total!I241</f>
        <v>0</v>
      </c>
      <c r="K15" s="47">
        <f>Total!J241</f>
        <v>0</v>
      </c>
      <c r="L15" s="47">
        <f>Total!K241</f>
        <v>0</v>
      </c>
      <c r="M15" s="47">
        <f>Total!L241</f>
        <v>0</v>
      </c>
      <c r="N15" s="47">
        <f>Total!M241</f>
        <v>0</v>
      </c>
      <c r="O15" s="47">
        <f>Total!N241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Total!B272</f>
        <v>6</v>
      </c>
      <c r="D16" s="12">
        <f>Total!C272</f>
        <v>0</v>
      </c>
      <c r="E16" s="12">
        <f>Total!D272</f>
        <v>0</v>
      </c>
      <c r="F16" s="12">
        <f>Total!E272</f>
        <v>0</v>
      </c>
      <c r="G16" s="47">
        <f>Total!F272</f>
        <v>0</v>
      </c>
      <c r="H16" s="47">
        <f>Total!G272</f>
        <v>0</v>
      </c>
      <c r="I16" s="47">
        <f>Total!H272</f>
        <v>0</v>
      </c>
      <c r="J16" s="47">
        <f>Total!I272</f>
        <v>0</v>
      </c>
      <c r="K16" s="47">
        <f>Total!J272</f>
        <v>0</v>
      </c>
      <c r="L16" s="47">
        <f>Total!K272</f>
        <v>0</v>
      </c>
      <c r="M16" s="47">
        <f>Total!L272</f>
        <v>0</v>
      </c>
      <c r="N16" s="47">
        <f>Total!M272</f>
        <v>0</v>
      </c>
      <c r="O16" s="47">
        <f>Total!N272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Total!B303</f>
        <v>0</v>
      </c>
      <c r="D17" s="12">
        <f>Total!C303</f>
        <v>0</v>
      </c>
      <c r="E17" s="12">
        <f>Total!D303</f>
        <v>0</v>
      </c>
      <c r="F17" s="12">
        <f>Total!E303</f>
        <v>0</v>
      </c>
      <c r="G17" s="47">
        <f>Total!F303</f>
        <v>0</v>
      </c>
      <c r="H17" s="47">
        <f>Total!G303</f>
        <v>0</v>
      </c>
      <c r="I17" s="47">
        <f>Total!H303</f>
        <v>0</v>
      </c>
      <c r="J17" s="47">
        <f>Total!I303</f>
        <v>0</v>
      </c>
      <c r="K17" s="47">
        <f>Total!J303</f>
        <v>0</v>
      </c>
      <c r="L17" s="47">
        <f>Total!K303</f>
        <v>0</v>
      </c>
      <c r="M17" s="47">
        <f>Total!L303</f>
        <v>0</v>
      </c>
      <c r="N17" s="47">
        <f>Total!M303</f>
        <v>0</v>
      </c>
      <c r="O17" s="47">
        <f>Total!N303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Total!B334</f>
        <v>0</v>
      </c>
      <c r="D18" s="12">
        <f>Total!C334</f>
        <v>0</v>
      </c>
      <c r="E18" s="12">
        <f>Total!D334</f>
        <v>0</v>
      </c>
      <c r="F18" s="12">
        <f>Total!E334</f>
        <v>0</v>
      </c>
      <c r="G18" s="47">
        <f>Total!F334</f>
        <v>0</v>
      </c>
      <c r="H18" s="47">
        <f>Total!G334</f>
        <v>0</v>
      </c>
      <c r="I18" s="47">
        <f>Total!H334</f>
        <v>0</v>
      </c>
      <c r="J18" s="47">
        <f>Total!I334</f>
        <v>0</v>
      </c>
      <c r="K18" s="47">
        <f>Total!J334</f>
        <v>0</v>
      </c>
      <c r="L18" s="47">
        <f>Total!K334</f>
        <v>0</v>
      </c>
      <c r="M18" s="47">
        <f>Total!L334</f>
        <v>0</v>
      </c>
      <c r="N18" s="47">
        <f>Total!M334</f>
        <v>0</v>
      </c>
      <c r="O18" s="47">
        <f>Total!N334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Total!B365</f>
        <v>0</v>
      </c>
      <c r="D19" s="12">
        <f>Total!C365</f>
        <v>0</v>
      </c>
      <c r="E19" s="12">
        <f>Total!D365</f>
        <v>0</v>
      </c>
      <c r="F19" s="12">
        <f>Total!E365</f>
        <v>0</v>
      </c>
      <c r="G19" s="48">
        <f>Total!F365</f>
        <v>0</v>
      </c>
      <c r="H19" s="48">
        <f>Total!G365</f>
        <v>0</v>
      </c>
      <c r="I19" s="48">
        <f>Total!H365</f>
        <v>0</v>
      </c>
      <c r="J19" s="48">
        <f>Total!I365</f>
        <v>0</v>
      </c>
      <c r="K19" s="48">
        <f>Total!J365</f>
        <v>0</v>
      </c>
      <c r="L19" s="48">
        <f>Total!K365</f>
        <v>0</v>
      </c>
      <c r="M19" s="48">
        <f>Total!L365</f>
        <v>0</v>
      </c>
      <c r="N19" s="48">
        <f>Total!M365</f>
        <v>0</v>
      </c>
      <c r="O19" s="48">
        <f>Total!N365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6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2474.23</v>
      </c>
      <c r="H20" s="18">
        <f t="shared" si="0"/>
        <v>11396.02</v>
      </c>
      <c r="I20" s="18">
        <f t="shared" si="0"/>
        <v>2823.75</v>
      </c>
      <c r="J20" s="18">
        <f t="shared" si="0"/>
        <v>1224.02</v>
      </c>
      <c r="K20" s="18">
        <f t="shared" si="0"/>
        <v>6565.2199999999993</v>
      </c>
      <c r="L20" s="18">
        <f t="shared" si="0"/>
        <v>4030.59</v>
      </c>
      <c r="M20" s="18">
        <f t="shared" si="0"/>
        <v>11863.2</v>
      </c>
      <c r="N20" s="18">
        <f t="shared" si="0"/>
        <v>16650.629999999997</v>
      </c>
      <c r="O20" s="30">
        <f t="shared" si="0"/>
        <v>4787.4299999999994</v>
      </c>
    </row>
    <row r="24" spans="1:15" x14ac:dyDescent="0.25">
      <c r="B24" t="s">
        <v>73</v>
      </c>
      <c r="C24" s="20"/>
      <c r="G24" s="20">
        <f>SUM(C20:E20)</f>
        <v>6</v>
      </c>
      <c r="H24" s="20">
        <f>G24-J5</f>
        <v>-7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23">
    <tabColor rgb="FF00B050"/>
    <pageSetUpPr fitToPage="1"/>
  </sheetPr>
  <dimension ref="A1:AF27"/>
  <sheetViews>
    <sheetView zoomScaleNormal="100" workbookViewId="0">
      <selection activeCell="J5" sqref="J5"/>
    </sheetView>
  </sheetViews>
  <sheetFormatPr defaultRowHeight="15" x14ac:dyDescent="0.25"/>
  <cols>
    <col min="1" max="6" width="8.7109375" customWidth="1"/>
    <col min="7" max="7" width="12.7109375" customWidth="1"/>
    <col min="8" max="11" width="14.5703125" bestFit="1" customWidth="1"/>
    <col min="12" max="12" width="13.5703125" bestFit="1" customWidth="1"/>
    <col min="13" max="14" width="14.5703125" bestFit="1" customWidth="1"/>
    <col min="15" max="15" width="15.85546875" bestFit="1" customWidth="1"/>
    <col min="24" max="27" width="14.5703125" bestFit="1" customWidth="1"/>
    <col min="28" max="28" width="12.7109375" bestFit="1" customWidth="1"/>
    <col min="29" max="30" width="14.5703125" bestFit="1" customWidth="1"/>
    <col min="31" max="31" width="15.7109375" bestFit="1" customWidth="1"/>
    <col min="32" max="32" width="15.85546875" style="28" bestFit="1" customWidth="1"/>
  </cols>
  <sheetData>
    <row r="1" spans="1:32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R1" s="198" t="s">
        <v>74</v>
      </c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200"/>
    </row>
    <row r="2" spans="1:32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32" ht="15.75" customHeight="1" x14ac:dyDescent="0.25">
      <c r="A3" s="4" t="s">
        <v>36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  <c r="R3" s="4" t="s">
        <v>75</v>
      </c>
    </row>
    <row r="4" spans="1:32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32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convenio'!$O$33</f>
        <v>525</v>
      </c>
      <c r="H5" s="191" t="s">
        <v>65</v>
      </c>
      <c r="I5" s="173"/>
      <c r="J5" s="61">
        <f>'[4]intern. diaria convenio'!$O$79</f>
        <v>516</v>
      </c>
      <c r="K5" s="59"/>
      <c r="L5" s="59"/>
      <c r="M5" s="59"/>
      <c r="N5" s="59"/>
      <c r="O5" s="62"/>
      <c r="R5" s="58"/>
      <c r="S5" s="59"/>
      <c r="T5" s="60"/>
      <c r="U5" s="191" t="s">
        <v>64</v>
      </c>
      <c r="V5" s="173"/>
      <c r="W5" s="173"/>
      <c r="X5" s="61">
        <f>G5</f>
        <v>525</v>
      </c>
      <c r="Y5" s="191" t="s">
        <v>65</v>
      </c>
      <c r="Z5" s="173"/>
      <c r="AA5" s="61">
        <f>J5</f>
        <v>516</v>
      </c>
      <c r="AB5" s="59"/>
      <c r="AC5" s="59"/>
      <c r="AD5" s="59"/>
      <c r="AE5" s="59"/>
      <c r="AF5" s="62"/>
    </row>
    <row r="6" spans="1:32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  <c r="R6" s="194" t="s">
        <v>66</v>
      </c>
      <c r="S6" s="185"/>
      <c r="T6" s="194" t="s">
        <v>67</v>
      </c>
      <c r="U6" s="173"/>
      <c r="V6" s="171"/>
      <c r="W6" s="22"/>
      <c r="X6" s="186" t="s">
        <v>68</v>
      </c>
      <c r="Y6" s="187"/>
      <c r="Z6" s="186" t="s">
        <v>69</v>
      </c>
      <c r="AA6" s="187"/>
      <c r="AB6" s="186" t="s">
        <v>6</v>
      </c>
      <c r="AC6" s="187"/>
      <c r="AD6" s="190" t="s">
        <v>9</v>
      </c>
      <c r="AE6" s="173"/>
      <c r="AF6" s="171"/>
    </row>
    <row r="7" spans="1:32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  <c r="R7" s="196"/>
      <c r="S7" s="197"/>
      <c r="T7" s="7" t="s">
        <v>10</v>
      </c>
      <c r="U7" s="8" t="s">
        <v>11</v>
      </c>
      <c r="V7" s="8" t="s">
        <v>12</v>
      </c>
      <c r="W7" s="8" t="s">
        <v>13</v>
      </c>
      <c r="X7" s="9" t="s">
        <v>70</v>
      </c>
      <c r="Y7" s="9" t="s">
        <v>71</v>
      </c>
      <c r="Z7" s="9" t="s">
        <v>70</v>
      </c>
      <c r="AA7" s="9" t="s">
        <v>71</v>
      </c>
      <c r="AB7" s="9" t="s">
        <v>70</v>
      </c>
      <c r="AC7" s="9" t="s">
        <v>71</v>
      </c>
      <c r="AD7" s="10" t="s">
        <v>70</v>
      </c>
      <c r="AE7" s="11" t="s">
        <v>71</v>
      </c>
      <c r="AF7" s="29" t="s">
        <v>16</v>
      </c>
    </row>
    <row r="8" spans="1:32" s="13" customFormat="1" ht="16.5" customHeight="1" x14ac:dyDescent="0.25">
      <c r="A8" s="192" t="s">
        <v>1</v>
      </c>
      <c r="B8" s="193"/>
      <c r="C8" s="12">
        <f>Total!B25</f>
        <v>0</v>
      </c>
      <c r="D8" s="12">
        <f>Total!C25</f>
        <v>0</v>
      </c>
      <c r="E8" s="12">
        <f>Total!D25</f>
        <v>0</v>
      </c>
      <c r="F8" s="12">
        <f>Total!E25</f>
        <v>0</v>
      </c>
      <c r="G8" s="46">
        <f>Total!F25</f>
        <v>55196.29</v>
      </c>
      <c r="H8" s="46">
        <f>Total!G25</f>
        <v>0</v>
      </c>
      <c r="I8" s="46">
        <f>Total!H25</f>
        <v>170855.6</v>
      </c>
      <c r="J8" s="46">
        <f>Total!I25</f>
        <v>0</v>
      </c>
      <c r="K8" s="46">
        <f>Total!J25</f>
        <v>86197.28</v>
      </c>
      <c r="L8" s="46">
        <f>Total!K25</f>
        <v>0</v>
      </c>
      <c r="M8" s="46">
        <f>Total!L25</f>
        <v>312249.17000000004</v>
      </c>
      <c r="N8" s="46">
        <f>Total!M25</f>
        <v>400000</v>
      </c>
      <c r="O8" s="46">
        <f>Total!N25</f>
        <v>87750.829999999958</v>
      </c>
      <c r="R8" s="192" t="s">
        <v>1</v>
      </c>
      <c r="S8" s="193"/>
      <c r="T8" s="12">
        <f t="shared" ref="T8:T19" si="0">C8</f>
        <v>0</v>
      </c>
      <c r="U8" s="12">
        <f t="shared" ref="U8:U19" si="1">D8</f>
        <v>0</v>
      </c>
      <c r="V8" s="12">
        <f t="shared" ref="V8:V19" si="2">E8</f>
        <v>0</v>
      </c>
      <c r="W8" s="12">
        <f t="shared" ref="W8:W19" si="3">F8</f>
        <v>0</v>
      </c>
      <c r="X8" s="46">
        <f>G8+'[5]SAUDE MAIOR'!C8</f>
        <v>147690.04</v>
      </c>
      <c r="Y8" s="15">
        <f>H8+'[5]SAUDE MAIOR'!$D8</f>
        <v>0</v>
      </c>
      <c r="Z8" s="46">
        <f t="shared" ref="Z8:Z19" si="4">I8</f>
        <v>170855.6</v>
      </c>
      <c r="AA8" s="15">
        <f t="shared" ref="AA8:AA19" si="5">J8</f>
        <v>0</v>
      </c>
      <c r="AB8" s="46">
        <f>K8+'[5]SAUDE MAIOR'!E8</f>
        <v>100159.58</v>
      </c>
      <c r="AC8" s="15">
        <f>L8+'[5]SAUDE MAIOR'!$F8</f>
        <v>0</v>
      </c>
      <c r="AD8" s="27">
        <f t="shared" ref="AD8:AD19" si="6">X8+Z8+AB8</f>
        <v>418705.22000000003</v>
      </c>
      <c r="AE8" s="27">
        <f>370000+'[5]SAUDE MAIOR'!$H8</f>
        <v>475811.24</v>
      </c>
      <c r="AF8" s="52">
        <f t="shared" ref="AF8:AF20" si="7">AE8-AD8</f>
        <v>57106.01999999996</v>
      </c>
    </row>
    <row r="9" spans="1:32" s="13" customFormat="1" ht="16.5" customHeight="1" x14ac:dyDescent="0.25">
      <c r="A9" s="188" t="s">
        <v>43</v>
      </c>
      <c r="B9" s="189"/>
      <c r="C9" s="12">
        <f>Total!B56</f>
        <v>0</v>
      </c>
      <c r="D9" s="12">
        <f>Total!C56</f>
        <v>0</v>
      </c>
      <c r="E9" s="12">
        <f>Total!D56</f>
        <v>0</v>
      </c>
      <c r="F9" s="12">
        <f>Total!E56</f>
        <v>0</v>
      </c>
      <c r="G9" s="47">
        <f>Total!F56</f>
        <v>76064.36</v>
      </c>
      <c r="H9" s="47">
        <f>Total!G56</f>
        <v>0</v>
      </c>
      <c r="I9" s="47">
        <f>Total!H56</f>
        <v>175153.17</v>
      </c>
      <c r="J9" s="47">
        <f>Total!I56</f>
        <v>0</v>
      </c>
      <c r="K9" s="47">
        <f>Total!J56</f>
        <v>97069.57</v>
      </c>
      <c r="L9" s="47">
        <f>Total!K56</f>
        <v>0</v>
      </c>
      <c r="M9" s="47">
        <f>Total!L56</f>
        <v>348287.10000000003</v>
      </c>
      <c r="N9" s="47">
        <f>Total!M56</f>
        <v>400000</v>
      </c>
      <c r="O9" s="47">
        <f>Total!N56</f>
        <v>51712.899999999965</v>
      </c>
      <c r="R9" s="188" t="s">
        <v>43</v>
      </c>
      <c r="S9" s="189"/>
      <c r="T9" s="12">
        <f t="shared" si="0"/>
        <v>0</v>
      </c>
      <c r="U9" s="12">
        <f t="shared" si="1"/>
        <v>0</v>
      </c>
      <c r="V9" s="12">
        <f t="shared" si="2"/>
        <v>0</v>
      </c>
      <c r="W9" s="12">
        <f t="shared" si="3"/>
        <v>0</v>
      </c>
      <c r="X9" s="47">
        <f>G9+'[5]SAUDE MAIOR'!C9</f>
        <v>116409.08</v>
      </c>
      <c r="Y9" s="15">
        <f>H9+'[5]SAUDE MAIOR'!$D9</f>
        <v>0</v>
      </c>
      <c r="Z9" s="47">
        <f t="shared" si="4"/>
        <v>175153.17</v>
      </c>
      <c r="AA9" s="15">
        <f t="shared" si="5"/>
        <v>0</v>
      </c>
      <c r="AB9" s="47">
        <f>K9+'[5]SAUDE MAIOR'!E9</f>
        <v>110422.98000000001</v>
      </c>
      <c r="AC9" s="15">
        <f>L9+'[5]SAUDE MAIOR'!$F9</f>
        <v>0</v>
      </c>
      <c r="AD9" s="27">
        <f t="shared" si="6"/>
        <v>401985.23</v>
      </c>
      <c r="AE9" s="27">
        <f>300000+'[5]SAUDE MAIOR'!$H9</f>
        <v>409195.4</v>
      </c>
      <c r="AF9" s="52">
        <f t="shared" si="7"/>
        <v>7210.1700000000419</v>
      </c>
    </row>
    <row r="10" spans="1:32" s="13" customFormat="1" ht="16.5" customHeight="1" x14ac:dyDescent="0.25">
      <c r="A10" s="188" t="s">
        <v>44</v>
      </c>
      <c r="B10" s="189"/>
      <c r="C10" s="12">
        <f>Total!B87</f>
        <v>0</v>
      </c>
      <c r="D10" s="12">
        <f>Total!C87</f>
        <v>0</v>
      </c>
      <c r="E10" s="12">
        <f>Total!D87</f>
        <v>0</v>
      </c>
      <c r="F10" s="12">
        <f>Total!E87</f>
        <v>0</v>
      </c>
      <c r="G10" s="47">
        <f>Total!F87</f>
        <v>106300.25</v>
      </c>
      <c r="H10" s="47">
        <f>Total!G87</f>
        <v>0</v>
      </c>
      <c r="I10" s="47">
        <f>Total!H87</f>
        <v>240643.09</v>
      </c>
      <c r="J10" s="47">
        <f>Total!I87</f>
        <v>0</v>
      </c>
      <c r="K10" s="47">
        <f>Total!J87</f>
        <v>177387.54</v>
      </c>
      <c r="L10" s="47">
        <f>Total!K87</f>
        <v>0</v>
      </c>
      <c r="M10" s="47">
        <f>Total!L87</f>
        <v>524330.88</v>
      </c>
      <c r="N10" s="47">
        <f>Total!M87</f>
        <v>400000</v>
      </c>
      <c r="O10" s="47">
        <f>Total!N87</f>
        <v>-124330.88</v>
      </c>
      <c r="R10" s="188" t="s">
        <v>44</v>
      </c>
      <c r="S10" s="189"/>
      <c r="T10" s="12">
        <f t="shared" si="0"/>
        <v>0</v>
      </c>
      <c r="U10" s="12">
        <f t="shared" si="1"/>
        <v>0</v>
      </c>
      <c r="V10" s="12">
        <f t="shared" si="2"/>
        <v>0</v>
      </c>
      <c r="W10" s="12">
        <f t="shared" si="3"/>
        <v>0</v>
      </c>
      <c r="X10" s="47">
        <f>G10+'[5]SAUDE MAIOR'!C10</f>
        <v>206460.3</v>
      </c>
      <c r="Y10" s="15">
        <f>H10+'[5]SAUDE MAIOR'!$D10</f>
        <v>0</v>
      </c>
      <c r="Z10" s="47">
        <f t="shared" si="4"/>
        <v>240643.09</v>
      </c>
      <c r="AA10" s="15">
        <f t="shared" si="5"/>
        <v>0</v>
      </c>
      <c r="AB10" s="47">
        <f>K10+'[5]SAUDE MAIOR'!E10</f>
        <v>194751.7</v>
      </c>
      <c r="AC10" s="15">
        <f>L10+'[5]SAUDE MAIOR'!$F10</f>
        <v>0</v>
      </c>
      <c r="AD10" s="27">
        <f t="shared" si="6"/>
        <v>641855.09000000008</v>
      </c>
      <c r="AE10" s="27">
        <f>300000+'[5]SAUDE MAIOR'!$H10</f>
        <v>397075.68</v>
      </c>
      <c r="AF10" s="52">
        <f t="shared" si="7"/>
        <v>-244779.41000000009</v>
      </c>
    </row>
    <row r="11" spans="1:32" s="13" customFormat="1" ht="16.5" customHeight="1" x14ac:dyDescent="0.25">
      <c r="A11" s="188" t="s">
        <v>45</v>
      </c>
      <c r="B11" s="189"/>
      <c r="C11" s="12">
        <f>Total!B118</f>
        <v>0</v>
      </c>
      <c r="D11" s="12">
        <f>Total!C118</f>
        <v>0</v>
      </c>
      <c r="E11" s="12">
        <f>Total!D118</f>
        <v>0</v>
      </c>
      <c r="F11" s="12">
        <f>Total!E118</f>
        <v>0</v>
      </c>
      <c r="G11" s="47">
        <f>Total!F118</f>
        <v>66749.33</v>
      </c>
      <c r="H11" s="47">
        <f>Total!G118</f>
        <v>0</v>
      </c>
      <c r="I11" s="47">
        <f>Total!H118</f>
        <v>263364.81</v>
      </c>
      <c r="J11" s="47">
        <f>Total!I118</f>
        <v>0</v>
      </c>
      <c r="K11" s="47">
        <f>Total!J118</f>
        <v>112154.87</v>
      </c>
      <c r="L11" s="47">
        <f>Total!K118</f>
        <v>0</v>
      </c>
      <c r="M11" s="47">
        <f>Total!L118</f>
        <v>442269.01</v>
      </c>
      <c r="N11" s="47">
        <f>Total!M118</f>
        <v>400000</v>
      </c>
      <c r="O11" s="47">
        <f>Total!N118</f>
        <v>-42269.010000000009</v>
      </c>
      <c r="R11" s="188" t="s">
        <v>45</v>
      </c>
      <c r="S11" s="189"/>
      <c r="T11" s="12">
        <f t="shared" si="0"/>
        <v>0</v>
      </c>
      <c r="U11" s="12">
        <f t="shared" si="1"/>
        <v>0</v>
      </c>
      <c r="V11" s="12">
        <f t="shared" si="2"/>
        <v>0</v>
      </c>
      <c r="W11" s="12">
        <f t="shared" si="3"/>
        <v>0</v>
      </c>
      <c r="X11" s="47">
        <f>G11+'[5]SAUDE MAIOR'!C11</f>
        <v>120975.25</v>
      </c>
      <c r="Y11" s="15">
        <f>H11+'[5]SAUDE MAIOR'!$D11</f>
        <v>0</v>
      </c>
      <c r="Z11" s="47">
        <f t="shared" si="4"/>
        <v>263364.81</v>
      </c>
      <c r="AA11" s="15">
        <f t="shared" si="5"/>
        <v>0</v>
      </c>
      <c r="AB11" s="47">
        <f>K11+'[5]SAUDE MAIOR'!E11</f>
        <v>126749.31999999999</v>
      </c>
      <c r="AC11" s="15">
        <f>L11+'[5]SAUDE MAIOR'!$F11</f>
        <v>0</v>
      </c>
      <c r="AD11" s="27">
        <f t="shared" si="6"/>
        <v>511089.38</v>
      </c>
      <c r="AE11" s="27">
        <f>300000+'[5]SAUDE MAIOR'!$H11</f>
        <v>423840.83</v>
      </c>
      <c r="AF11" s="52">
        <f t="shared" si="7"/>
        <v>-87248.549999999988</v>
      </c>
    </row>
    <row r="12" spans="1:32" s="13" customFormat="1" ht="16.5" customHeight="1" x14ac:dyDescent="0.25">
      <c r="A12" s="188" t="s">
        <v>46</v>
      </c>
      <c r="B12" s="189"/>
      <c r="C12" s="12">
        <f>Total!B149</f>
        <v>0</v>
      </c>
      <c r="D12" s="12">
        <f>Total!C149</f>
        <v>0</v>
      </c>
      <c r="E12" s="12">
        <f>Total!D149</f>
        <v>0</v>
      </c>
      <c r="F12" s="12">
        <f>Total!E149</f>
        <v>0</v>
      </c>
      <c r="G12" s="47">
        <f>Total!F149</f>
        <v>42147.91</v>
      </c>
      <c r="H12" s="47">
        <f>Total!G149</f>
        <v>0</v>
      </c>
      <c r="I12" s="47">
        <f>Total!H149</f>
        <v>236042.18</v>
      </c>
      <c r="J12" s="47">
        <f>Total!I149</f>
        <v>0</v>
      </c>
      <c r="K12" s="47">
        <f>Total!J149</f>
        <v>78151.61</v>
      </c>
      <c r="L12" s="47">
        <f>Total!K149</f>
        <v>0</v>
      </c>
      <c r="M12" s="47">
        <f>Total!L149</f>
        <v>356341.69999999995</v>
      </c>
      <c r="N12" s="47">
        <f>Total!M149</f>
        <v>400000</v>
      </c>
      <c r="O12" s="47">
        <f>Total!N149</f>
        <v>43658.300000000047</v>
      </c>
      <c r="R12" s="188" t="s">
        <v>46</v>
      </c>
      <c r="S12" s="189"/>
      <c r="T12" s="12">
        <f t="shared" si="0"/>
        <v>0</v>
      </c>
      <c r="U12" s="12">
        <f t="shared" si="1"/>
        <v>0</v>
      </c>
      <c r="V12" s="12">
        <f t="shared" si="2"/>
        <v>0</v>
      </c>
      <c r="W12" s="12">
        <f t="shared" si="3"/>
        <v>0</v>
      </c>
      <c r="X12" s="47">
        <f>G12+'[5]SAUDE MAIOR'!C12</f>
        <v>125888.68000000001</v>
      </c>
      <c r="Y12" s="15">
        <f>H12+'[5]SAUDE MAIOR'!$D12</f>
        <v>0</v>
      </c>
      <c r="Z12" s="47">
        <f t="shared" si="4"/>
        <v>236042.18</v>
      </c>
      <c r="AA12" s="15">
        <f t="shared" si="5"/>
        <v>0</v>
      </c>
      <c r="AB12" s="47">
        <f>K12+'[5]SAUDE MAIOR'!E12</f>
        <v>96351.97</v>
      </c>
      <c r="AC12" s="15">
        <f>L12+'[5]SAUDE MAIOR'!$F12</f>
        <v>0</v>
      </c>
      <c r="AD12" s="27">
        <f t="shared" si="6"/>
        <v>458282.82999999996</v>
      </c>
      <c r="AE12" s="27">
        <f>300000+'[5]SAUDE MAIOR'!$H12</f>
        <v>412890.67</v>
      </c>
      <c r="AF12" s="52">
        <f t="shared" si="7"/>
        <v>-45392.159999999974</v>
      </c>
    </row>
    <row r="13" spans="1:32" s="13" customFormat="1" ht="16.5" customHeight="1" x14ac:dyDescent="0.25">
      <c r="A13" s="188" t="s">
        <v>47</v>
      </c>
      <c r="B13" s="189"/>
      <c r="C13" s="12">
        <f>Total!B180</f>
        <v>0</v>
      </c>
      <c r="D13" s="12">
        <f>Total!C180</f>
        <v>0</v>
      </c>
      <c r="E13" s="12">
        <f>Total!D180</f>
        <v>0</v>
      </c>
      <c r="F13" s="12">
        <f>Total!E180</f>
        <v>0</v>
      </c>
      <c r="G13" s="47">
        <f>Total!F180</f>
        <v>36139.769999999997</v>
      </c>
      <c r="H13" s="47">
        <f>Total!G180</f>
        <v>0</v>
      </c>
      <c r="I13" s="47">
        <f>Total!H180</f>
        <v>164420.65</v>
      </c>
      <c r="J13" s="47">
        <f>Total!I180</f>
        <v>0</v>
      </c>
      <c r="K13" s="47">
        <f>Total!J180</f>
        <v>69709.98</v>
      </c>
      <c r="L13" s="47">
        <f>Total!K180</f>
        <v>0</v>
      </c>
      <c r="M13" s="47">
        <f>Total!L180</f>
        <v>270270.39999999997</v>
      </c>
      <c r="N13" s="47">
        <f>Total!M180</f>
        <v>400000</v>
      </c>
      <c r="O13" s="47">
        <f>Total!N180</f>
        <v>129729.60000000003</v>
      </c>
      <c r="R13" s="188" t="s">
        <v>47</v>
      </c>
      <c r="S13" s="189"/>
      <c r="T13" s="12">
        <f t="shared" si="0"/>
        <v>0</v>
      </c>
      <c r="U13" s="12">
        <f t="shared" si="1"/>
        <v>0</v>
      </c>
      <c r="V13" s="12">
        <f t="shared" si="2"/>
        <v>0</v>
      </c>
      <c r="W13" s="12">
        <f t="shared" si="3"/>
        <v>0</v>
      </c>
      <c r="X13" s="47">
        <f>G13+'[5]SAUDE MAIOR'!C13</f>
        <v>160855.29</v>
      </c>
      <c r="Y13" s="15">
        <f>H13+'[5]SAUDE MAIOR'!$D13</f>
        <v>0</v>
      </c>
      <c r="Z13" s="47">
        <f t="shared" si="4"/>
        <v>164420.65</v>
      </c>
      <c r="AA13" s="15">
        <f t="shared" si="5"/>
        <v>0</v>
      </c>
      <c r="AB13" s="47">
        <f>K13+'[5]SAUDE MAIOR'!E13</f>
        <v>98318.45</v>
      </c>
      <c r="AC13" s="15">
        <f>L13+'[5]SAUDE MAIOR'!$F13</f>
        <v>0</v>
      </c>
      <c r="AD13" s="27">
        <f t="shared" si="6"/>
        <v>423594.39</v>
      </c>
      <c r="AE13" s="27">
        <f>300000+'[5]SAUDE MAIOR'!$H13</f>
        <v>422560.45</v>
      </c>
      <c r="AF13" s="52">
        <f t="shared" si="7"/>
        <v>-1033.9400000000023</v>
      </c>
    </row>
    <row r="14" spans="1:32" s="13" customFormat="1" ht="16.5" customHeight="1" x14ac:dyDescent="0.25">
      <c r="A14" s="188" t="s">
        <v>48</v>
      </c>
      <c r="B14" s="189"/>
      <c r="C14" s="12">
        <f>Total!B211</f>
        <v>20</v>
      </c>
      <c r="D14" s="12">
        <f>Total!C211</f>
        <v>218</v>
      </c>
      <c r="E14" s="12">
        <f>Total!D211</f>
        <v>18</v>
      </c>
      <c r="F14" s="12">
        <f>Total!E211</f>
        <v>0</v>
      </c>
      <c r="G14" s="47">
        <f>Total!F211</f>
        <v>0</v>
      </c>
      <c r="H14" s="47">
        <f>Total!G211</f>
        <v>0</v>
      </c>
      <c r="I14" s="47">
        <f>Total!H211</f>
        <v>0</v>
      </c>
      <c r="J14" s="47">
        <f>Total!I211</f>
        <v>0</v>
      </c>
      <c r="K14" s="47">
        <f>Total!J211</f>
        <v>0</v>
      </c>
      <c r="L14" s="47">
        <f>Total!K211</f>
        <v>0</v>
      </c>
      <c r="M14" s="47">
        <f>Total!L211</f>
        <v>0</v>
      </c>
      <c r="N14" s="47">
        <f>Total!M211</f>
        <v>400000</v>
      </c>
      <c r="O14" s="47">
        <f>Total!N211</f>
        <v>400000</v>
      </c>
      <c r="R14" s="188" t="s">
        <v>48</v>
      </c>
      <c r="S14" s="189"/>
      <c r="T14" s="12">
        <f t="shared" si="0"/>
        <v>20</v>
      </c>
      <c r="U14" s="12">
        <f t="shared" si="1"/>
        <v>218</v>
      </c>
      <c r="V14" s="12">
        <f t="shared" si="2"/>
        <v>18</v>
      </c>
      <c r="W14" s="12">
        <f t="shared" si="3"/>
        <v>0</v>
      </c>
      <c r="X14" s="47">
        <f>G14+'[5]SAUDE MAIOR'!C14</f>
        <v>87441.63</v>
      </c>
      <c r="Y14" s="15">
        <f>H14+'[5]SAUDE MAIOR'!$D14</f>
        <v>0</v>
      </c>
      <c r="Z14" s="47">
        <f t="shared" si="4"/>
        <v>0</v>
      </c>
      <c r="AA14" s="15">
        <f t="shared" si="5"/>
        <v>0</v>
      </c>
      <c r="AB14" s="47">
        <f>K14+'[5]SAUDE MAIOR'!E14</f>
        <v>17134.75</v>
      </c>
      <c r="AC14" s="15">
        <f>L14+'[5]SAUDE MAIOR'!$F14</f>
        <v>0</v>
      </c>
      <c r="AD14" s="27">
        <f t="shared" si="6"/>
        <v>104576.38</v>
      </c>
      <c r="AE14" s="27">
        <f>300000+'[5]SAUDE MAIOR'!$H14</f>
        <v>456160.26</v>
      </c>
      <c r="AF14" s="52">
        <f t="shared" si="7"/>
        <v>351583.88</v>
      </c>
    </row>
    <row r="15" spans="1:32" s="13" customFormat="1" ht="16.5" customHeight="1" x14ac:dyDescent="0.25">
      <c r="A15" s="188" t="s">
        <v>49</v>
      </c>
      <c r="B15" s="189"/>
      <c r="C15" s="12">
        <f>Total!B242</f>
        <v>0</v>
      </c>
      <c r="D15" s="12">
        <f>Total!C242</f>
        <v>425</v>
      </c>
      <c r="E15" s="12">
        <f>Total!D242</f>
        <v>49</v>
      </c>
      <c r="F15" s="12">
        <f>Total!E242</f>
        <v>8</v>
      </c>
      <c r="G15" s="47">
        <f>Total!F242</f>
        <v>0</v>
      </c>
      <c r="H15" s="47">
        <f>Total!G242</f>
        <v>0</v>
      </c>
      <c r="I15" s="47">
        <f>Total!H242</f>
        <v>0</v>
      </c>
      <c r="J15" s="47">
        <f>Total!I242</f>
        <v>0</v>
      </c>
      <c r="K15" s="47">
        <f>Total!J242</f>
        <v>0</v>
      </c>
      <c r="L15" s="47">
        <f>Total!K242</f>
        <v>0</v>
      </c>
      <c r="M15" s="47">
        <f>Total!L242</f>
        <v>0</v>
      </c>
      <c r="N15" s="47">
        <f>Total!M242</f>
        <v>400000</v>
      </c>
      <c r="O15" s="47">
        <f>Total!N242</f>
        <v>400000</v>
      </c>
      <c r="R15" s="188" t="s">
        <v>49</v>
      </c>
      <c r="S15" s="189"/>
      <c r="T15" s="12">
        <f t="shared" si="0"/>
        <v>0</v>
      </c>
      <c r="U15" s="12">
        <f t="shared" si="1"/>
        <v>425</v>
      </c>
      <c r="V15" s="12">
        <f t="shared" si="2"/>
        <v>49</v>
      </c>
      <c r="W15" s="12">
        <f t="shared" si="3"/>
        <v>8</v>
      </c>
      <c r="X15" s="47">
        <f>G15+'[5]SAUDE MAIOR'!C15</f>
        <v>213517.18</v>
      </c>
      <c r="Y15" s="15">
        <f>H15+'[5]SAUDE MAIOR'!$D15</f>
        <v>0</v>
      </c>
      <c r="Z15" s="47">
        <f t="shared" si="4"/>
        <v>0</v>
      </c>
      <c r="AA15" s="15">
        <f t="shared" si="5"/>
        <v>0</v>
      </c>
      <c r="AB15" s="47">
        <f>K15+'[5]SAUDE MAIOR'!E15</f>
        <v>23872.54</v>
      </c>
      <c r="AC15" s="15">
        <f>L15+'[5]SAUDE MAIOR'!$F15</f>
        <v>0</v>
      </c>
      <c r="AD15" s="27">
        <f t="shared" si="6"/>
        <v>237389.72</v>
      </c>
      <c r="AE15" s="27">
        <f>300000+'[5]SAUDE MAIOR'!$H15</f>
        <v>456660.49</v>
      </c>
      <c r="AF15" s="52">
        <f t="shared" si="7"/>
        <v>219270.77</v>
      </c>
    </row>
    <row r="16" spans="1:32" s="13" customFormat="1" ht="16.5" customHeight="1" x14ac:dyDescent="0.25">
      <c r="A16" s="188" t="s">
        <v>50</v>
      </c>
      <c r="B16" s="189"/>
      <c r="C16" s="12">
        <f>Total!B273</f>
        <v>4</v>
      </c>
      <c r="D16" s="12">
        <f>Total!C273</f>
        <v>275</v>
      </c>
      <c r="E16" s="12">
        <f>Total!D273</f>
        <v>17</v>
      </c>
      <c r="F16" s="12">
        <f>Total!E273</f>
        <v>0</v>
      </c>
      <c r="G16" s="47">
        <f>Total!F273</f>
        <v>0</v>
      </c>
      <c r="H16" s="47">
        <f>Total!G273</f>
        <v>0</v>
      </c>
      <c r="I16" s="47">
        <f>Total!H273</f>
        <v>0</v>
      </c>
      <c r="J16" s="47">
        <f>Total!I273</f>
        <v>0</v>
      </c>
      <c r="K16" s="47">
        <f>Total!J273</f>
        <v>0</v>
      </c>
      <c r="L16" s="47">
        <f>Total!K273</f>
        <v>0</v>
      </c>
      <c r="M16" s="47">
        <f>Total!L273</f>
        <v>0</v>
      </c>
      <c r="N16" s="47">
        <f>Total!M273</f>
        <v>400000</v>
      </c>
      <c r="O16" s="47">
        <f>Total!N273</f>
        <v>400000</v>
      </c>
      <c r="R16" s="188" t="s">
        <v>50</v>
      </c>
      <c r="S16" s="189"/>
      <c r="T16" s="12">
        <f t="shared" si="0"/>
        <v>4</v>
      </c>
      <c r="U16" s="12">
        <f t="shared" si="1"/>
        <v>275</v>
      </c>
      <c r="V16" s="12">
        <f t="shared" si="2"/>
        <v>17</v>
      </c>
      <c r="W16" s="12">
        <f t="shared" si="3"/>
        <v>0</v>
      </c>
      <c r="X16" s="47">
        <f>G16+'[5]SAUDE MAIOR'!C16</f>
        <v>178204.03</v>
      </c>
      <c r="Y16" s="15">
        <f>H16+'[5]SAUDE MAIOR'!$D16</f>
        <v>0</v>
      </c>
      <c r="Z16" s="47">
        <f t="shared" si="4"/>
        <v>0</v>
      </c>
      <c r="AA16" s="15">
        <f t="shared" si="5"/>
        <v>0</v>
      </c>
      <c r="AB16" s="47">
        <f>K16+'[5]SAUDE MAIOR'!E16</f>
        <v>16103.17</v>
      </c>
      <c r="AC16" s="15">
        <f>L16+'[5]SAUDE MAIOR'!$F16</f>
        <v>0</v>
      </c>
      <c r="AD16" s="27">
        <f t="shared" si="6"/>
        <v>194307.20000000001</v>
      </c>
      <c r="AE16" s="27">
        <f>300000+'[5]SAUDE MAIOR'!$H16</f>
        <v>492072.12</v>
      </c>
      <c r="AF16" s="52">
        <f t="shared" si="7"/>
        <v>297764.92</v>
      </c>
    </row>
    <row r="17" spans="1:32" s="13" customFormat="1" ht="16.5" customHeight="1" x14ac:dyDescent="0.25">
      <c r="A17" s="188" t="s">
        <v>51</v>
      </c>
      <c r="B17" s="189"/>
      <c r="C17" s="12">
        <f>Total!B304</f>
        <v>2</v>
      </c>
      <c r="D17" s="12">
        <f>Total!C304</f>
        <v>216</v>
      </c>
      <c r="E17" s="12">
        <f>Total!D304</f>
        <v>20</v>
      </c>
      <c r="F17" s="12">
        <f>Total!E304</f>
        <v>4</v>
      </c>
      <c r="G17" s="47">
        <f>Total!F304</f>
        <v>0</v>
      </c>
      <c r="H17" s="47">
        <f>Total!G304</f>
        <v>0</v>
      </c>
      <c r="I17" s="47">
        <f>Total!H304</f>
        <v>0</v>
      </c>
      <c r="J17" s="47">
        <f>Total!I304</f>
        <v>0</v>
      </c>
      <c r="K17" s="47">
        <f>Total!J304</f>
        <v>0</v>
      </c>
      <c r="L17" s="47">
        <f>Total!K304</f>
        <v>0</v>
      </c>
      <c r="M17" s="47">
        <f>Total!L304</f>
        <v>0</v>
      </c>
      <c r="N17" s="47">
        <f>Total!M304</f>
        <v>400000</v>
      </c>
      <c r="O17" s="47">
        <f>Total!N304</f>
        <v>400000</v>
      </c>
      <c r="R17" s="188" t="s">
        <v>51</v>
      </c>
      <c r="S17" s="189"/>
      <c r="T17" s="12">
        <f t="shared" si="0"/>
        <v>2</v>
      </c>
      <c r="U17" s="12">
        <f t="shared" si="1"/>
        <v>216</v>
      </c>
      <c r="V17" s="12">
        <f t="shared" si="2"/>
        <v>20</v>
      </c>
      <c r="W17" s="12">
        <f t="shared" si="3"/>
        <v>4</v>
      </c>
      <c r="X17" s="47">
        <f>G17+'[5]SAUDE MAIOR'!C17</f>
        <v>247420.34</v>
      </c>
      <c r="Y17" s="15">
        <f>H17+'[5]SAUDE MAIOR'!$D17</f>
        <v>0</v>
      </c>
      <c r="Z17" s="47">
        <f t="shared" si="4"/>
        <v>0</v>
      </c>
      <c r="AA17" s="15">
        <f t="shared" si="5"/>
        <v>0</v>
      </c>
      <c r="AB17" s="47">
        <f>K17+'[5]SAUDE MAIOR'!E17</f>
        <v>28547.65</v>
      </c>
      <c r="AC17" s="15">
        <f>L17+'[5]SAUDE MAIOR'!$F17</f>
        <v>0</v>
      </c>
      <c r="AD17" s="27">
        <f t="shared" si="6"/>
        <v>275967.99</v>
      </c>
      <c r="AE17" s="27">
        <f>300000+'[5]SAUDE MAIOR'!$H17</f>
        <v>507573.92000000004</v>
      </c>
      <c r="AF17" s="52">
        <f t="shared" si="7"/>
        <v>231605.93000000005</v>
      </c>
    </row>
    <row r="18" spans="1:32" s="13" customFormat="1" ht="16.5" customHeight="1" x14ac:dyDescent="0.25">
      <c r="A18" s="188" t="s">
        <v>53</v>
      </c>
      <c r="B18" s="189"/>
      <c r="C18" s="12">
        <f>Total!B335</f>
        <v>0</v>
      </c>
      <c r="D18" s="12">
        <f>Total!C335</f>
        <v>134</v>
      </c>
      <c r="E18" s="12">
        <f>Total!D335</f>
        <v>0</v>
      </c>
      <c r="F18" s="12">
        <f>Total!E335</f>
        <v>9</v>
      </c>
      <c r="G18" s="47">
        <f>Total!F335</f>
        <v>0</v>
      </c>
      <c r="H18" s="47">
        <f>Total!G335</f>
        <v>0</v>
      </c>
      <c r="I18" s="47">
        <f>Total!H335</f>
        <v>0</v>
      </c>
      <c r="J18" s="47">
        <f>Total!I335</f>
        <v>0</v>
      </c>
      <c r="K18" s="47">
        <f>Total!J335</f>
        <v>0</v>
      </c>
      <c r="L18" s="47">
        <f>Total!K335</f>
        <v>0</v>
      </c>
      <c r="M18" s="47">
        <f>Total!L335</f>
        <v>0</v>
      </c>
      <c r="N18" s="47">
        <f>Total!M335</f>
        <v>400000</v>
      </c>
      <c r="O18" s="47">
        <f>Total!N335</f>
        <v>400000</v>
      </c>
      <c r="R18" s="188" t="s">
        <v>53</v>
      </c>
      <c r="S18" s="189"/>
      <c r="T18" s="12">
        <f t="shared" si="0"/>
        <v>0</v>
      </c>
      <c r="U18" s="12">
        <f t="shared" si="1"/>
        <v>134</v>
      </c>
      <c r="V18" s="12">
        <f t="shared" si="2"/>
        <v>0</v>
      </c>
      <c r="W18" s="12">
        <f t="shared" si="3"/>
        <v>9</v>
      </c>
      <c r="X18" s="47">
        <f>G18+'[5]SAUDE MAIOR'!C18</f>
        <v>146490.18</v>
      </c>
      <c r="Y18" s="15">
        <f>H18+'[5]SAUDE MAIOR'!$D18</f>
        <v>0</v>
      </c>
      <c r="Z18" s="47">
        <f t="shared" si="4"/>
        <v>0</v>
      </c>
      <c r="AA18" s="15">
        <f t="shared" si="5"/>
        <v>0</v>
      </c>
      <c r="AB18" s="47">
        <f>K18+'[5]SAUDE MAIOR'!E18</f>
        <v>20170.419999999998</v>
      </c>
      <c r="AC18" s="15">
        <f>L18+'[5]SAUDE MAIOR'!$F18</f>
        <v>0</v>
      </c>
      <c r="AD18" s="27">
        <f t="shared" si="6"/>
        <v>166660.59999999998</v>
      </c>
      <c r="AE18" s="27">
        <f>300000+'[5]SAUDE MAIOR'!$H18</f>
        <v>585340.12</v>
      </c>
      <c r="AF18" s="52">
        <f t="shared" si="7"/>
        <v>418679.52</v>
      </c>
    </row>
    <row r="19" spans="1:32" s="13" customFormat="1" ht="16.5" customHeight="1" thickBot="1" x14ac:dyDescent="0.3">
      <c r="A19" s="188" t="s">
        <v>54</v>
      </c>
      <c r="B19" s="189"/>
      <c r="C19" s="12">
        <f>Total!B366</f>
        <v>0</v>
      </c>
      <c r="D19" s="12">
        <f>Total!C366</f>
        <v>0</v>
      </c>
      <c r="E19" s="12">
        <f>Total!D366</f>
        <v>0</v>
      </c>
      <c r="F19" s="12">
        <f>Total!E366</f>
        <v>0</v>
      </c>
      <c r="G19" s="48">
        <f>Total!F366</f>
        <v>0</v>
      </c>
      <c r="H19" s="48">
        <f>Total!G366</f>
        <v>0</v>
      </c>
      <c r="I19" s="48">
        <f>Total!H366</f>
        <v>0</v>
      </c>
      <c r="J19" s="48">
        <f>Total!I366</f>
        <v>0</v>
      </c>
      <c r="K19" s="48">
        <f>Total!J366</f>
        <v>0</v>
      </c>
      <c r="L19" s="48">
        <f>Total!K366</f>
        <v>0</v>
      </c>
      <c r="M19" s="48">
        <f>Total!L366</f>
        <v>0</v>
      </c>
      <c r="N19" s="48">
        <f>Total!M366</f>
        <v>400000</v>
      </c>
      <c r="O19" s="48">
        <f>Total!N366</f>
        <v>400000</v>
      </c>
      <c r="R19" s="188" t="s">
        <v>54</v>
      </c>
      <c r="S19" s="189"/>
      <c r="T19" s="12">
        <f t="shared" si="0"/>
        <v>0</v>
      </c>
      <c r="U19" s="12">
        <f t="shared" si="1"/>
        <v>0</v>
      </c>
      <c r="V19" s="12">
        <f t="shared" si="2"/>
        <v>0</v>
      </c>
      <c r="W19" s="12">
        <f t="shared" si="3"/>
        <v>0</v>
      </c>
      <c r="X19" s="48">
        <f>G19+'[5]SAUDE MAIOR'!C19</f>
        <v>254071.65</v>
      </c>
      <c r="Y19" s="15">
        <f>H19+'[5]SAUDE MAIOR'!$D19</f>
        <v>0</v>
      </c>
      <c r="Z19" s="48">
        <f t="shared" si="4"/>
        <v>0</v>
      </c>
      <c r="AA19" s="15">
        <f t="shared" si="5"/>
        <v>0</v>
      </c>
      <c r="AB19" s="48">
        <f>K19+'[5]SAUDE MAIOR'!E19</f>
        <v>18483.669999999998</v>
      </c>
      <c r="AC19" s="15">
        <f>L19+'[5]SAUDE MAIOR'!$F19</f>
        <v>0</v>
      </c>
      <c r="AD19" s="27">
        <f t="shared" si="6"/>
        <v>272555.32</v>
      </c>
      <c r="AE19" s="27">
        <f>300000+'[5]SAUDE MAIOR'!$H19</f>
        <v>596757.56000000006</v>
      </c>
      <c r="AF19" s="52">
        <f t="shared" si="7"/>
        <v>324202.24000000005</v>
      </c>
    </row>
    <row r="20" spans="1:32" s="13" customFormat="1" ht="20.100000000000001" customHeight="1" thickBot="1" x14ac:dyDescent="0.3">
      <c r="A20" s="195" t="s">
        <v>72</v>
      </c>
      <c r="B20" s="187"/>
      <c r="C20" s="17">
        <f t="shared" ref="C20:O20" si="8">SUM(C8:C19)</f>
        <v>26</v>
      </c>
      <c r="D20" s="17">
        <f t="shared" si="8"/>
        <v>1268</v>
      </c>
      <c r="E20" s="17">
        <f t="shared" si="8"/>
        <v>104</v>
      </c>
      <c r="F20" s="17">
        <f t="shared" si="8"/>
        <v>21</v>
      </c>
      <c r="G20" s="18">
        <f t="shared" si="8"/>
        <v>382597.91000000003</v>
      </c>
      <c r="H20" s="18">
        <f t="shared" si="8"/>
        <v>0</v>
      </c>
      <c r="I20" s="18">
        <f t="shared" si="8"/>
        <v>1250479.4999999998</v>
      </c>
      <c r="J20" s="18">
        <f t="shared" si="8"/>
        <v>0</v>
      </c>
      <c r="K20" s="18">
        <f t="shared" si="8"/>
        <v>620670.85</v>
      </c>
      <c r="L20" s="18">
        <f t="shared" si="8"/>
        <v>0</v>
      </c>
      <c r="M20" s="18">
        <f t="shared" si="8"/>
        <v>2253748.2599999998</v>
      </c>
      <c r="N20" s="18">
        <f t="shared" si="8"/>
        <v>4800000</v>
      </c>
      <c r="O20" s="30">
        <f t="shared" si="8"/>
        <v>2546251.7400000002</v>
      </c>
      <c r="R20" s="195" t="s">
        <v>72</v>
      </c>
      <c r="S20" s="187"/>
      <c r="T20" s="17">
        <v>54</v>
      </c>
      <c r="U20" s="17">
        <v>1139</v>
      </c>
      <c r="V20" s="17">
        <v>176</v>
      </c>
      <c r="W20" s="17">
        <v>0</v>
      </c>
      <c r="X20" s="18">
        <f>SUM(X8:X19)</f>
        <v>2005423.65</v>
      </c>
      <c r="Y20" s="18">
        <f>SUM(Y8:Y19)</f>
        <v>0</v>
      </c>
      <c r="Z20" s="18">
        <f>SUM(Z8:Z19)</f>
        <v>1250479.4999999998</v>
      </c>
      <c r="AA20" s="18">
        <f>SUM(AA8:AA19)</f>
        <v>0</v>
      </c>
      <c r="AB20" s="18">
        <v>107358.29</v>
      </c>
      <c r="AC20" s="18">
        <f>SUM(AC8:AC19)</f>
        <v>0</v>
      </c>
      <c r="AD20" s="18">
        <f>SUM(AD8:AD19)</f>
        <v>4106969.3500000006</v>
      </c>
      <c r="AE20" s="18">
        <f>SUM(AE8:AE19)</f>
        <v>5635938.7400000002</v>
      </c>
      <c r="AF20" s="84">
        <f t="shared" si="7"/>
        <v>1528969.3899999997</v>
      </c>
    </row>
    <row r="22" spans="1:32" ht="15.75" customHeight="1" thickBot="1" x14ac:dyDescent="0.3"/>
    <row r="23" spans="1:32" ht="16.5" customHeight="1" thickBot="1" x14ac:dyDescent="0.3">
      <c r="G23" s="209" t="s">
        <v>76</v>
      </c>
      <c r="H23" s="173"/>
      <c r="I23" s="173"/>
      <c r="J23" s="173"/>
      <c r="K23" s="173"/>
      <c r="L23" s="173"/>
      <c r="M23" s="173"/>
      <c r="N23" s="173"/>
      <c r="O23" s="171"/>
      <c r="X23" s="209" t="s">
        <v>77</v>
      </c>
      <c r="Y23" s="173"/>
      <c r="Z23" s="173"/>
      <c r="AA23" s="173"/>
      <c r="AB23" s="173"/>
      <c r="AC23" s="173"/>
      <c r="AD23" s="173"/>
      <c r="AE23" s="173"/>
      <c r="AF23" s="171"/>
    </row>
    <row r="24" spans="1:32" ht="16.5" customHeight="1" thickBot="1" x14ac:dyDescent="0.3">
      <c r="C24" s="20"/>
      <c r="G24" s="206" t="s">
        <v>68</v>
      </c>
      <c r="H24" s="187"/>
      <c r="I24" s="206" t="s">
        <v>69</v>
      </c>
      <c r="J24" s="187"/>
      <c r="K24" s="206" t="s">
        <v>6</v>
      </c>
      <c r="L24" s="187"/>
      <c r="M24" s="207" t="s">
        <v>9</v>
      </c>
      <c r="N24" s="173"/>
      <c r="O24" s="187"/>
      <c r="X24" s="206" t="s">
        <v>68</v>
      </c>
      <c r="Y24" s="187"/>
      <c r="Z24" s="206" t="s">
        <v>69</v>
      </c>
      <c r="AA24" s="187"/>
      <c r="AB24" s="206" t="s">
        <v>6</v>
      </c>
      <c r="AC24" s="187"/>
      <c r="AD24" s="208" t="s">
        <v>9</v>
      </c>
      <c r="AE24" s="173"/>
      <c r="AF24" s="187"/>
    </row>
    <row r="25" spans="1:32" ht="15.75" customHeight="1" x14ac:dyDescent="0.25">
      <c r="G25" s="86" t="s">
        <v>70</v>
      </c>
      <c r="H25" s="87" t="s">
        <v>71</v>
      </c>
      <c r="I25" s="86" t="s">
        <v>70</v>
      </c>
      <c r="J25" s="88" t="s">
        <v>71</v>
      </c>
      <c r="K25" s="86" t="s">
        <v>70</v>
      </c>
      <c r="L25" s="87" t="s">
        <v>71</v>
      </c>
      <c r="M25" s="101" t="s">
        <v>70</v>
      </c>
      <c r="N25" s="98" t="s">
        <v>71</v>
      </c>
      <c r="O25" s="107" t="s">
        <v>16</v>
      </c>
      <c r="X25" s="86" t="s">
        <v>70</v>
      </c>
      <c r="Y25" s="87" t="s">
        <v>71</v>
      </c>
      <c r="Z25" s="86" t="s">
        <v>70</v>
      </c>
      <c r="AA25" s="88" t="s">
        <v>71</v>
      </c>
      <c r="AB25" s="86" t="s">
        <v>70</v>
      </c>
      <c r="AC25" s="88" t="s">
        <v>71</v>
      </c>
      <c r="AD25" s="89" t="s">
        <v>70</v>
      </c>
      <c r="AE25" s="90" t="s">
        <v>71</v>
      </c>
      <c r="AF25" s="91" t="s">
        <v>16</v>
      </c>
    </row>
    <row r="26" spans="1:32" ht="16.5" customHeight="1" thickBot="1" x14ac:dyDescent="0.3">
      <c r="G26" s="100">
        <f t="shared" ref="G26:O26" si="9">G20</f>
        <v>382597.91000000003</v>
      </c>
      <c r="H26" s="94">
        <f t="shared" si="9"/>
        <v>0</v>
      </c>
      <c r="I26" s="100">
        <f t="shared" si="9"/>
        <v>1250479.4999999998</v>
      </c>
      <c r="J26" s="94">
        <f t="shared" si="9"/>
        <v>0</v>
      </c>
      <c r="K26" s="100">
        <f t="shared" si="9"/>
        <v>620670.85</v>
      </c>
      <c r="L26" s="94">
        <f t="shared" si="9"/>
        <v>0</v>
      </c>
      <c r="M26" s="102">
        <f t="shared" si="9"/>
        <v>2253748.2599999998</v>
      </c>
      <c r="N26" s="99">
        <f t="shared" si="9"/>
        <v>4800000</v>
      </c>
      <c r="O26" s="106">
        <f t="shared" si="9"/>
        <v>2546251.7400000002</v>
      </c>
      <c r="X26" s="92">
        <f t="shared" ref="X26:AF26" si="10">X20</f>
        <v>2005423.65</v>
      </c>
      <c r="Y26" s="93">
        <f t="shared" si="10"/>
        <v>0</v>
      </c>
      <c r="Z26" s="92">
        <f t="shared" si="10"/>
        <v>1250479.4999999998</v>
      </c>
      <c r="AA26" s="94">
        <f t="shared" si="10"/>
        <v>0</v>
      </c>
      <c r="AB26" s="92">
        <f t="shared" si="10"/>
        <v>107358.29</v>
      </c>
      <c r="AC26" s="94">
        <f t="shared" si="10"/>
        <v>0</v>
      </c>
      <c r="AD26" s="95">
        <f t="shared" si="10"/>
        <v>4106969.3500000006</v>
      </c>
      <c r="AE26" s="96">
        <f t="shared" si="10"/>
        <v>5635938.7400000002</v>
      </c>
      <c r="AF26" s="97">
        <f t="shared" si="10"/>
        <v>1528969.3899999997</v>
      </c>
    </row>
    <row r="27" spans="1:32" ht="16.5" customHeight="1" thickBot="1" x14ac:dyDescent="0.3">
      <c r="M27" s="103">
        <f>M20</f>
        <v>2253748.2599999998</v>
      </c>
      <c r="N27" s="104">
        <f>H20+J20+L20</f>
        <v>0</v>
      </c>
      <c r="O27" s="105">
        <f>N27-M26</f>
        <v>-2253748.2599999998</v>
      </c>
      <c r="AD27" s="103">
        <f>AD20</f>
        <v>4106969.3500000006</v>
      </c>
      <c r="AE27" s="104">
        <f>Y20+AA20+AC20</f>
        <v>0</v>
      </c>
      <c r="AF27" s="105">
        <f>AE27-AD26</f>
        <v>-4106969.3500000006</v>
      </c>
    </row>
  </sheetData>
  <mergeCells count="54">
    <mergeCell ref="R1:AF1"/>
    <mergeCell ref="A20:B20"/>
    <mergeCell ref="AD24:AF24"/>
    <mergeCell ref="A19:B19"/>
    <mergeCell ref="A10:B10"/>
    <mergeCell ref="G23:O23"/>
    <mergeCell ref="X23:AF23"/>
    <mergeCell ref="R6:S7"/>
    <mergeCell ref="A13:B13"/>
    <mergeCell ref="A1:O1"/>
    <mergeCell ref="H5:I5"/>
    <mergeCell ref="Z24:AA24"/>
    <mergeCell ref="R18:S18"/>
    <mergeCell ref="R14:S14"/>
    <mergeCell ref="R9:S9"/>
    <mergeCell ref="A6:B7"/>
    <mergeCell ref="A14:B14"/>
    <mergeCell ref="R17:S17"/>
    <mergeCell ref="A17:B17"/>
    <mergeCell ref="A8:B8"/>
    <mergeCell ref="C6:E6"/>
    <mergeCell ref="R8:S8"/>
    <mergeCell ref="R15:S15"/>
    <mergeCell ref="Y5:Z5"/>
    <mergeCell ref="G6:H6"/>
    <mergeCell ref="A18:B18"/>
    <mergeCell ref="M24:O24"/>
    <mergeCell ref="T6:V6"/>
    <mergeCell ref="R12:S12"/>
    <mergeCell ref="A12:B12"/>
    <mergeCell ref="U5:W5"/>
    <mergeCell ref="G24:H24"/>
    <mergeCell ref="X24:Y24"/>
    <mergeCell ref="X6:Y6"/>
    <mergeCell ref="I24:J24"/>
    <mergeCell ref="R20:S20"/>
    <mergeCell ref="D5:F5"/>
    <mergeCell ref="K6:L6"/>
    <mergeCell ref="Z6:AA6"/>
    <mergeCell ref="A15:B15"/>
    <mergeCell ref="AD6:AF6"/>
    <mergeCell ref="AB6:AC6"/>
    <mergeCell ref="K24:L24"/>
    <mergeCell ref="AB24:AC24"/>
    <mergeCell ref="R11:S11"/>
    <mergeCell ref="I6:J6"/>
    <mergeCell ref="A11:B11"/>
    <mergeCell ref="A9:B9"/>
    <mergeCell ref="R10:S10"/>
    <mergeCell ref="R19:S19"/>
    <mergeCell ref="R13:S13"/>
    <mergeCell ref="M6:O6"/>
    <mergeCell ref="R16:S16"/>
    <mergeCell ref="A16:B16"/>
  </mergeCells>
  <printOptions horizontalCentered="1"/>
  <pageMargins left="0.11811023622047249" right="0.11811023622047249" top="1.377952755905512" bottom="0.98425196850393704" header="0.31496062992125978" footer="0.31496062992125978"/>
  <pageSetup paperSize="9" scale="7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26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28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38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convenio'!$O$35</f>
        <v>66</v>
      </c>
      <c r="H5" s="191" t="s">
        <v>65</v>
      </c>
      <c r="I5" s="173"/>
      <c r="J5" s="61">
        <f>'[3]intern. diaria convenio'!$O$81</f>
        <v>723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Total!B27</f>
        <v>0</v>
      </c>
      <c r="D8" s="12">
        <f>Total!C27</f>
        <v>0</v>
      </c>
      <c r="E8" s="12">
        <f>Total!D27</f>
        <v>0</v>
      </c>
      <c r="F8" s="12">
        <f>Total!E27</f>
        <v>0</v>
      </c>
      <c r="G8" s="46">
        <f>Total!F27</f>
        <v>4419.3500000000004</v>
      </c>
      <c r="H8" s="46">
        <f>Total!G27</f>
        <v>40504.21</v>
      </c>
      <c r="I8" s="46">
        <f>Total!H27</f>
        <v>7280.85</v>
      </c>
      <c r="J8" s="46">
        <f>Total!I27</f>
        <v>2262.4</v>
      </c>
      <c r="K8" s="46">
        <f>Total!J27</f>
        <v>24802.51</v>
      </c>
      <c r="L8" s="46">
        <f>Total!K27</f>
        <v>5946.05</v>
      </c>
      <c r="M8" s="46">
        <f>Total!L27</f>
        <v>36502.71</v>
      </c>
      <c r="N8" s="46">
        <f>Total!M27</f>
        <v>4460.7</v>
      </c>
      <c r="O8" s="46">
        <f>Total!N27</f>
        <v>-32042.01</v>
      </c>
    </row>
    <row r="9" spans="1:15" s="13" customFormat="1" ht="16.5" customHeight="1" x14ac:dyDescent="0.25">
      <c r="A9" s="188" t="s">
        <v>43</v>
      </c>
      <c r="B9" s="189"/>
      <c r="C9" s="12">
        <f>Total!B58</f>
        <v>0</v>
      </c>
      <c r="D9" s="12">
        <f>Total!C58</f>
        <v>0</v>
      </c>
      <c r="E9" s="12">
        <f>Total!D58</f>
        <v>0</v>
      </c>
      <c r="F9" s="12">
        <f>Total!E58</f>
        <v>0</v>
      </c>
      <c r="G9" s="47">
        <f>Total!F58</f>
        <v>5840.44</v>
      </c>
      <c r="H9" s="47">
        <f>Total!G58</f>
        <v>38032.03</v>
      </c>
      <c r="I9" s="47">
        <f>Total!H58</f>
        <v>69389.88</v>
      </c>
      <c r="J9" s="47">
        <f>Total!I58</f>
        <v>40217.1</v>
      </c>
      <c r="K9" s="47">
        <f>Total!J58</f>
        <v>22918.57</v>
      </c>
      <c r="L9" s="47">
        <f>Total!K58</f>
        <v>8034.01</v>
      </c>
      <c r="M9" s="47">
        <f>Total!L58</f>
        <v>98148.890000000014</v>
      </c>
      <c r="N9" s="47">
        <f>Total!M58</f>
        <v>1940.1</v>
      </c>
      <c r="O9" s="47">
        <f>Total!N58</f>
        <v>-96208.790000000008</v>
      </c>
    </row>
    <row r="10" spans="1:15" s="13" customFormat="1" ht="16.5" customHeight="1" x14ac:dyDescent="0.25">
      <c r="A10" s="188" t="s">
        <v>44</v>
      </c>
      <c r="B10" s="189"/>
      <c r="C10" s="12">
        <f>Total!B89</f>
        <v>0</v>
      </c>
      <c r="D10" s="12">
        <f>Total!C89</f>
        <v>0</v>
      </c>
      <c r="E10" s="12">
        <f>Total!D89</f>
        <v>0</v>
      </c>
      <c r="F10" s="12">
        <f>Total!E89</f>
        <v>0</v>
      </c>
      <c r="G10" s="47">
        <f>Total!F89</f>
        <v>6455.07</v>
      </c>
      <c r="H10" s="47">
        <f>Total!G89</f>
        <v>38617.199999999997</v>
      </c>
      <c r="I10" s="47">
        <f>Total!H89</f>
        <v>9960.75</v>
      </c>
      <c r="J10" s="47">
        <f>Total!I89</f>
        <v>5516.7</v>
      </c>
      <c r="K10" s="47">
        <f>Total!J89</f>
        <v>10574.53</v>
      </c>
      <c r="L10" s="47">
        <f>Total!K89</f>
        <v>2747.28</v>
      </c>
      <c r="M10" s="47">
        <f>Total!L89</f>
        <v>26990.35</v>
      </c>
      <c r="N10" s="47">
        <f>Total!M89</f>
        <v>2591.8000000000002</v>
      </c>
      <c r="O10" s="47">
        <f>Total!N89</f>
        <v>-24398.55</v>
      </c>
    </row>
    <row r="11" spans="1:15" s="13" customFormat="1" ht="16.5" customHeight="1" x14ac:dyDescent="0.25">
      <c r="A11" s="188" t="s">
        <v>45</v>
      </c>
      <c r="B11" s="189"/>
      <c r="C11" s="12">
        <f>Total!B120</f>
        <v>0</v>
      </c>
      <c r="D11" s="12">
        <f>Total!C120</f>
        <v>0</v>
      </c>
      <c r="E11" s="12">
        <f>Total!D120</f>
        <v>0</v>
      </c>
      <c r="F11" s="12">
        <f>Total!E120</f>
        <v>0</v>
      </c>
      <c r="G11" s="47">
        <f>Total!F120</f>
        <v>4829.8</v>
      </c>
      <c r="H11" s="47">
        <f>Total!G120</f>
        <v>15481.65</v>
      </c>
      <c r="I11" s="47">
        <f>Total!H120</f>
        <v>9748.65</v>
      </c>
      <c r="J11" s="47">
        <f>Total!I120</f>
        <v>5766.6</v>
      </c>
      <c r="K11" s="47">
        <f>Total!J120</f>
        <v>2978.2</v>
      </c>
      <c r="L11" s="47">
        <f>Total!K120</f>
        <v>2160.48</v>
      </c>
      <c r="M11" s="47">
        <f>Total!L120</f>
        <v>17556.650000000001</v>
      </c>
      <c r="N11" s="47">
        <f>Total!M120</f>
        <v>653.4</v>
      </c>
      <c r="O11" s="47">
        <f>Total!N120</f>
        <v>-16903.25</v>
      </c>
    </row>
    <row r="12" spans="1:15" s="13" customFormat="1" ht="16.5" customHeight="1" x14ac:dyDescent="0.25">
      <c r="A12" s="188" t="s">
        <v>46</v>
      </c>
      <c r="B12" s="189"/>
      <c r="C12" s="12">
        <f>Total!B151</f>
        <v>0</v>
      </c>
      <c r="D12" s="12">
        <f>Total!C151</f>
        <v>0</v>
      </c>
      <c r="E12" s="12">
        <f>Total!D151</f>
        <v>0</v>
      </c>
      <c r="F12" s="12">
        <f>Total!E151</f>
        <v>0</v>
      </c>
      <c r="G12" s="47">
        <f>Total!F151</f>
        <v>4797.47</v>
      </c>
      <c r="H12" s="47">
        <f>Total!G151</f>
        <v>39140.78</v>
      </c>
      <c r="I12" s="47">
        <f>Total!H151</f>
        <v>18923.849999999999</v>
      </c>
      <c r="J12" s="47">
        <f>Total!I151</f>
        <v>10303.299999999999</v>
      </c>
      <c r="K12" s="47">
        <f>Total!J151</f>
        <v>438.08</v>
      </c>
      <c r="L12" s="47">
        <f>Total!K151</f>
        <v>175</v>
      </c>
      <c r="M12" s="47">
        <f>Total!L151</f>
        <v>24159.4</v>
      </c>
      <c r="N12" s="47">
        <f>Total!M151</f>
        <v>1789.8</v>
      </c>
      <c r="O12" s="47">
        <f>Total!N151</f>
        <v>-22369.600000000002</v>
      </c>
    </row>
    <row r="13" spans="1:15" s="13" customFormat="1" ht="16.5" customHeight="1" x14ac:dyDescent="0.25">
      <c r="A13" s="188" t="s">
        <v>47</v>
      </c>
      <c r="B13" s="189"/>
      <c r="C13" s="12">
        <f>Total!B182</f>
        <v>0</v>
      </c>
      <c r="D13" s="12">
        <f>Total!C182</f>
        <v>0</v>
      </c>
      <c r="E13" s="12">
        <f>Total!D182</f>
        <v>0</v>
      </c>
      <c r="F13" s="12">
        <f>Total!E182</f>
        <v>0</v>
      </c>
      <c r="G13" s="47">
        <f>Total!F182</f>
        <v>5273.09</v>
      </c>
      <c r="H13" s="47">
        <f>Total!G182</f>
        <v>17724.740000000002</v>
      </c>
      <c r="I13" s="47">
        <f>Total!H182</f>
        <v>34980.449999999997</v>
      </c>
      <c r="J13" s="47">
        <f>Total!I182</f>
        <v>20239.8</v>
      </c>
      <c r="K13" s="47">
        <f>Total!J182</f>
        <v>1416.67</v>
      </c>
      <c r="L13" s="47">
        <f>Total!K182</f>
        <v>730.92</v>
      </c>
      <c r="M13" s="47">
        <f>Total!L182</f>
        <v>41670.209999999992</v>
      </c>
      <c r="N13" s="47">
        <f>Total!M182</f>
        <v>6239.5</v>
      </c>
      <c r="O13" s="47">
        <f>Total!N182</f>
        <v>-35430.709999999992</v>
      </c>
    </row>
    <row r="14" spans="1:15" s="13" customFormat="1" ht="16.5" customHeight="1" x14ac:dyDescent="0.25">
      <c r="A14" s="188" t="s">
        <v>48</v>
      </c>
      <c r="B14" s="189"/>
      <c r="C14" s="12">
        <f>Total!B213</f>
        <v>5</v>
      </c>
      <c r="D14" s="12">
        <f>Total!C213</f>
        <v>0</v>
      </c>
      <c r="E14" s="12">
        <f>Total!D213</f>
        <v>13</v>
      </c>
      <c r="F14" s="12">
        <f>Total!E213</f>
        <v>0</v>
      </c>
      <c r="G14" s="47">
        <f>Total!F213</f>
        <v>0</v>
      </c>
      <c r="H14" s="47">
        <f>Total!G213</f>
        <v>0</v>
      </c>
      <c r="I14" s="47">
        <f>Total!H213</f>
        <v>0</v>
      </c>
      <c r="J14" s="47">
        <f>Total!I213</f>
        <v>0</v>
      </c>
      <c r="K14" s="47">
        <f>Total!J213</f>
        <v>0</v>
      </c>
      <c r="L14" s="47">
        <f>Total!K213</f>
        <v>0</v>
      </c>
      <c r="M14" s="47">
        <f>Total!L213</f>
        <v>0</v>
      </c>
      <c r="N14" s="47">
        <f>Total!M213</f>
        <v>1791.9</v>
      </c>
      <c r="O14" s="47">
        <f>Total!N213</f>
        <v>1791.9</v>
      </c>
    </row>
    <row r="15" spans="1:15" s="13" customFormat="1" ht="16.5" customHeight="1" x14ac:dyDescent="0.25">
      <c r="A15" s="188" t="s">
        <v>49</v>
      </c>
      <c r="B15" s="189"/>
      <c r="C15" s="12">
        <f>Total!B244</f>
        <v>25</v>
      </c>
      <c r="D15" s="12">
        <f>Total!C244</f>
        <v>3</v>
      </c>
      <c r="E15" s="12">
        <f>Total!D244</f>
        <v>0</v>
      </c>
      <c r="F15" s="12">
        <f>Total!E244</f>
        <v>0</v>
      </c>
      <c r="G15" s="47">
        <f>Total!F244</f>
        <v>0</v>
      </c>
      <c r="H15" s="47">
        <f>Total!G244</f>
        <v>0</v>
      </c>
      <c r="I15" s="47">
        <f>Total!H244</f>
        <v>0</v>
      </c>
      <c r="J15" s="47">
        <f>Total!I244</f>
        <v>0</v>
      </c>
      <c r="K15" s="47">
        <f>Total!J244</f>
        <v>0</v>
      </c>
      <c r="L15" s="47">
        <f>Total!K244</f>
        <v>0</v>
      </c>
      <c r="M15" s="47">
        <f>Total!L244</f>
        <v>0</v>
      </c>
      <c r="N15" s="47">
        <f>Total!M244</f>
        <v>4296.6000000000004</v>
      </c>
      <c r="O15" s="47">
        <f>Total!N244</f>
        <v>4296.6000000000004</v>
      </c>
    </row>
    <row r="16" spans="1:15" s="13" customFormat="1" ht="16.5" customHeight="1" x14ac:dyDescent="0.25">
      <c r="A16" s="188" t="s">
        <v>50</v>
      </c>
      <c r="B16" s="189"/>
      <c r="C16" s="12">
        <f>Total!B275</f>
        <v>55</v>
      </c>
      <c r="D16" s="12">
        <f>Total!C275</f>
        <v>0</v>
      </c>
      <c r="E16" s="12">
        <f>Total!D275</f>
        <v>8</v>
      </c>
      <c r="F16" s="12">
        <f>Total!E275</f>
        <v>0</v>
      </c>
      <c r="G16" s="47">
        <f>Total!F275</f>
        <v>0</v>
      </c>
      <c r="H16" s="47">
        <f>Total!G275</f>
        <v>0</v>
      </c>
      <c r="I16" s="47">
        <f>Total!H275</f>
        <v>0</v>
      </c>
      <c r="J16" s="47">
        <f>Total!I275</f>
        <v>0</v>
      </c>
      <c r="K16" s="47">
        <f>Total!J275</f>
        <v>0</v>
      </c>
      <c r="L16" s="47">
        <f>Total!K275</f>
        <v>0</v>
      </c>
      <c r="M16" s="47">
        <f>Total!L275</f>
        <v>0</v>
      </c>
      <c r="N16" s="47">
        <f>Total!M275</f>
        <v>3081.2</v>
      </c>
      <c r="O16" s="47">
        <f>Total!N275</f>
        <v>3081.2</v>
      </c>
    </row>
    <row r="17" spans="1:15" s="13" customFormat="1" ht="16.5" customHeight="1" x14ac:dyDescent="0.25">
      <c r="A17" s="188" t="s">
        <v>51</v>
      </c>
      <c r="B17" s="189"/>
      <c r="C17" s="12">
        <f>Total!B306</f>
        <v>14</v>
      </c>
      <c r="D17" s="12">
        <f>Total!C306</f>
        <v>0</v>
      </c>
      <c r="E17" s="12">
        <f>Total!D306</f>
        <v>0</v>
      </c>
      <c r="F17" s="12">
        <f>Total!E306</f>
        <v>0</v>
      </c>
      <c r="G17" s="47">
        <f>Total!F306</f>
        <v>0</v>
      </c>
      <c r="H17" s="47">
        <f>Total!G306</f>
        <v>0</v>
      </c>
      <c r="I17" s="47">
        <f>Total!H306</f>
        <v>0</v>
      </c>
      <c r="J17" s="47">
        <f>Total!I306</f>
        <v>0</v>
      </c>
      <c r="K17" s="47">
        <f>Total!J306</f>
        <v>0</v>
      </c>
      <c r="L17" s="47">
        <f>Total!K306</f>
        <v>0</v>
      </c>
      <c r="M17" s="47">
        <f>Total!L306</f>
        <v>0</v>
      </c>
      <c r="N17" s="47">
        <f>Total!M306</f>
        <v>0</v>
      </c>
      <c r="O17" s="47">
        <f>Total!N306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Total!B337</f>
        <v>5</v>
      </c>
      <c r="D18" s="12">
        <f>Total!C337</f>
        <v>0</v>
      </c>
      <c r="E18" s="12">
        <f>Total!D337</f>
        <v>7</v>
      </c>
      <c r="F18" s="12">
        <f>Total!E337</f>
        <v>0</v>
      </c>
      <c r="G18" s="47">
        <f>Total!F337</f>
        <v>0</v>
      </c>
      <c r="H18" s="47">
        <f>Total!G337</f>
        <v>0</v>
      </c>
      <c r="I18" s="47">
        <f>Total!H337</f>
        <v>0</v>
      </c>
      <c r="J18" s="47">
        <f>Total!I337</f>
        <v>0</v>
      </c>
      <c r="K18" s="47">
        <f>Total!J337</f>
        <v>0</v>
      </c>
      <c r="L18" s="47">
        <f>Total!K337</f>
        <v>0</v>
      </c>
      <c r="M18" s="47">
        <f>Total!L337</f>
        <v>0</v>
      </c>
      <c r="N18" s="47">
        <f>Total!M337</f>
        <v>0</v>
      </c>
      <c r="O18" s="47">
        <f>Total!N337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Total!B368</f>
        <v>0</v>
      </c>
      <c r="D19" s="12">
        <f>Total!C368</f>
        <v>0</v>
      </c>
      <c r="E19" s="12">
        <f>Total!D368</f>
        <v>0</v>
      </c>
      <c r="F19" s="12">
        <f>Total!E368</f>
        <v>0</v>
      </c>
      <c r="G19" s="48">
        <f>Total!F368</f>
        <v>0</v>
      </c>
      <c r="H19" s="48">
        <f>Total!G368</f>
        <v>0</v>
      </c>
      <c r="I19" s="48">
        <f>Total!H368</f>
        <v>0</v>
      </c>
      <c r="J19" s="48">
        <f>Total!I368</f>
        <v>0</v>
      </c>
      <c r="K19" s="48">
        <f>Total!J368</f>
        <v>0</v>
      </c>
      <c r="L19" s="48">
        <f>Total!K368</f>
        <v>0</v>
      </c>
      <c r="M19" s="48">
        <f>Total!L368</f>
        <v>0</v>
      </c>
      <c r="N19" s="48">
        <f>Total!M368</f>
        <v>0</v>
      </c>
      <c r="O19" s="48">
        <f>Total!N368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104</v>
      </c>
      <c r="D20" s="17">
        <f t="shared" si="0"/>
        <v>3</v>
      </c>
      <c r="E20" s="17">
        <f t="shared" si="0"/>
        <v>28</v>
      </c>
      <c r="F20" s="17">
        <f t="shared" si="0"/>
        <v>0</v>
      </c>
      <c r="G20" s="18">
        <f t="shared" si="0"/>
        <v>31615.22</v>
      </c>
      <c r="H20" s="18">
        <f t="shared" si="0"/>
        <v>189500.61</v>
      </c>
      <c r="I20" s="18">
        <f t="shared" si="0"/>
        <v>150284.43</v>
      </c>
      <c r="J20" s="18">
        <f t="shared" si="0"/>
        <v>84305.9</v>
      </c>
      <c r="K20" s="18">
        <f t="shared" si="0"/>
        <v>63128.56</v>
      </c>
      <c r="L20" s="18">
        <f t="shared" si="0"/>
        <v>19793.739999999998</v>
      </c>
      <c r="M20" s="18">
        <f t="shared" si="0"/>
        <v>245028.21</v>
      </c>
      <c r="N20" s="18">
        <f t="shared" si="0"/>
        <v>26844.999999999996</v>
      </c>
      <c r="O20" s="30">
        <f t="shared" si="0"/>
        <v>-218183.21</v>
      </c>
    </row>
    <row r="24" spans="1:15" x14ac:dyDescent="0.25">
      <c r="B24" t="s">
        <v>73</v>
      </c>
      <c r="C24" s="20"/>
      <c r="G24" s="20">
        <f>SUM(C20:E20)</f>
        <v>135</v>
      </c>
      <c r="H24" s="20">
        <f>G24-J5</f>
        <v>-588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ageMargins left="0.11811023622047249" right="0.11811023622047249" top="1.377952755905512" bottom="0.98425196850393704" header="0.31496062992125978" footer="0.31496062992125978"/>
  <pageSetup paperSize="9" scale="94" orientation="landscape" copies="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27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8" width="11.7109375" customWidth="1"/>
    <col min="9" max="9" width="13.28515625" bestFit="1" customWidth="1"/>
    <col min="10" max="11" width="11.7109375" customWidth="1"/>
    <col min="12" max="12" width="10.7109375" bestFit="1" customWidth="1"/>
    <col min="13" max="13" width="14" style="34" bestFit="1" customWidth="1"/>
    <col min="14" max="15" width="11.7109375" style="34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convenio'!$O$36</f>
        <v>2</v>
      </c>
      <c r="H5" s="191" t="s">
        <v>65</v>
      </c>
      <c r="I5" s="173"/>
      <c r="J5" s="61">
        <f>'[3]intern. diaria convenio'!$O$82</f>
        <v>2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Total!B28</f>
        <v>0</v>
      </c>
      <c r="D8" s="12">
        <f>Total!C28</f>
        <v>0</v>
      </c>
      <c r="E8" s="12">
        <f>Total!D28</f>
        <v>0</v>
      </c>
      <c r="F8" s="12">
        <f>Total!E28</f>
        <v>0</v>
      </c>
      <c r="G8" s="46">
        <f>Total!F28</f>
        <v>0</v>
      </c>
      <c r="H8" s="46">
        <f>Total!G28</f>
        <v>0</v>
      </c>
      <c r="I8" s="46">
        <f>Total!H28</f>
        <v>0</v>
      </c>
      <c r="J8" s="46">
        <f>Total!I28</f>
        <v>0</v>
      </c>
      <c r="K8" s="46">
        <f>Total!J28</f>
        <v>0</v>
      </c>
      <c r="L8" s="46">
        <f>Total!K28</f>
        <v>0</v>
      </c>
      <c r="M8" s="46">
        <f>Total!L28</f>
        <v>0</v>
      </c>
      <c r="N8" s="46">
        <f>Total!M28</f>
        <v>0</v>
      </c>
      <c r="O8" s="46">
        <f>Total!N28</f>
        <v>0</v>
      </c>
    </row>
    <row r="9" spans="1:15" s="13" customFormat="1" ht="16.5" customHeight="1" x14ac:dyDescent="0.25">
      <c r="A9" s="188" t="s">
        <v>43</v>
      </c>
      <c r="B9" s="189"/>
      <c r="C9" s="12">
        <f>Total!B59</f>
        <v>0</v>
      </c>
      <c r="D9" s="12">
        <f>Total!C59</f>
        <v>0</v>
      </c>
      <c r="E9" s="12">
        <f>Total!D59</f>
        <v>0</v>
      </c>
      <c r="F9" s="12">
        <f>Total!E59</f>
        <v>0</v>
      </c>
      <c r="G9" s="47">
        <f>Total!F59</f>
        <v>1046.83</v>
      </c>
      <c r="H9" s="47">
        <f>Total!G59</f>
        <v>6891.85</v>
      </c>
      <c r="I9" s="47">
        <f>Total!H59</f>
        <v>573.45000000000005</v>
      </c>
      <c r="J9" s="47">
        <f>Total!I59</f>
        <v>151.47</v>
      </c>
      <c r="K9" s="47">
        <f>Total!J59</f>
        <v>2833.33</v>
      </c>
      <c r="L9" s="47">
        <f>Total!K59</f>
        <v>770.21</v>
      </c>
      <c r="M9" s="47">
        <f>Total!L59</f>
        <v>4453.6099999999997</v>
      </c>
      <c r="N9" s="47">
        <f>Total!M59</f>
        <v>7813.5300000000007</v>
      </c>
      <c r="O9" s="47">
        <f>Total!N59</f>
        <v>3359.920000000001</v>
      </c>
    </row>
    <row r="10" spans="1:15" s="13" customFormat="1" ht="16.5" customHeight="1" x14ac:dyDescent="0.25">
      <c r="A10" s="188" t="s">
        <v>44</v>
      </c>
      <c r="B10" s="189"/>
      <c r="C10" s="12">
        <f>Total!B90</f>
        <v>0</v>
      </c>
      <c r="D10" s="12">
        <f>Total!C90</f>
        <v>0</v>
      </c>
      <c r="E10" s="12">
        <f>Total!D90</f>
        <v>0</v>
      </c>
      <c r="F10" s="12">
        <f>Total!E90</f>
        <v>0</v>
      </c>
      <c r="G10" s="47">
        <f>Total!F90</f>
        <v>0</v>
      </c>
      <c r="H10" s="47">
        <f>Total!G90</f>
        <v>0</v>
      </c>
      <c r="I10" s="47">
        <f>Total!H90</f>
        <v>0</v>
      </c>
      <c r="J10" s="47">
        <f>Total!I90</f>
        <v>0</v>
      </c>
      <c r="K10" s="47">
        <f>Total!J90</f>
        <v>0</v>
      </c>
      <c r="L10" s="47">
        <f>Total!K90</f>
        <v>0</v>
      </c>
      <c r="M10" s="47">
        <f>Total!L90</f>
        <v>0</v>
      </c>
      <c r="N10" s="47">
        <f>Total!M90</f>
        <v>0</v>
      </c>
      <c r="O10" s="47">
        <f>Total!N90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Total!B121</f>
        <v>0</v>
      </c>
      <c r="D11" s="12">
        <f>Total!C121</f>
        <v>0</v>
      </c>
      <c r="E11" s="12">
        <f>Total!D121</f>
        <v>0</v>
      </c>
      <c r="F11" s="12">
        <f>Total!E121</f>
        <v>0</v>
      </c>
      <c r="G11" s="47">
        <f>Total!F121</f>
        <v>0</v>
      </c>
      <c r="H11" s="47">
        <f>Total!G121</f>
        <v>0</v>
      </c>
      <c r="I11" s="47">
        <f>Total!H121</f>
        <v>0</v>
      </c>
      <c r="J11" s="47">
        <f>Total!I121</f>
        <v>0</v>
      </c>
      <c r="K11" s="47">
        <f>Total!J121</f>
        <v>0</v>
      </c>
      <c r="L11" s="47">
        <f>Total!K121</f>
        <v>0</v>
      </c>
      <c r="M11" s="47">
        <f>Total!L121</f>
        <v>0</v>
      </c>
      <c r="N11" s="47">
        <f>Total!M121</f>
        <v>0</v>
      </c>
      <c r="O11" s="47">
        <f>Total!N121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Total!B152</f>
        <v>0</v>
      </c>
      <c r="D12" s="12">
        <f>Total!C152</f>
        <v>0</v>
      </c>
      <c r="E12" s="12">
        <f>Total!D152</f>
        <v>0</v>
      </c>
      <c r="F12" s="12">
        <f>Total!E152</f>
        <v>0</v>
      </c>
      <c r="G12" s="47">
        <f>Total!F152</f>
        <v>3205.6</v>
      </c>
      <c r="H12" s="47">
        <f>Total!G152</f>
        <v>49445.38</v>
      </c>
      <c r="I12" s="47">
        <f>Total!H152</f>
        <v>16201.65</v>
      </c>
      <c r="J12" s="47">
        <f>Total!I152</f>
        <v>8228.86</v>
      </c>
      <c r="K12" s="47">
        <f>Total!J152</f>
        <v>14204.16</v>
      </c>
      <c r="L12" s="47">
        <f>Total!K152</f>
        <v>3449.67</v>
      </c>
      <c r="M12" s="47">
        <f>Total!L152</f>
        <v>33611.410000000003</v>
      </c>
      <c r="N12" s="47">
        <f>Total!M152</f>
        <v>61123.909999999996</v>
      </c>
      <c r="O12" s="47">
        <f>Total!N152</f>
        <v>27512.499999999993</v>
      </c>
    </row>
    <row r="13" spans="1:15" s="13" customFormat="1" ht="16.5" customHeight="1" x14ac:dyDescent="0.25">
      <c r="A13" s="188" t="s">
        <v>47</v>
      </c>
      <c r="B13" s="189"/>
      <c r="C13" s="12">
        <f>Total!B183</f>
        <v>0</v>
      </c>
      <c r="D13" s="12">
        <f>Total!C183</f>
        <v>0</v>
      </c>
      <c r="E13" s="12">
        <f>Total!D183</f>
        <v>0</v>
      </c>
      <c r="F13" s="12">
        <f>Total!E183</f>
        <v>0</v>
      </c>
      <c r="G13" s="47">
        <f>Total!F183</f>
        <v>10947.48</v>
      </c>
      <c r="H13" s="47">
        <f>Total!G183</f>
        <v>59866.26</v>
      </c>
      <c r="I13" s="47">
        <f>Total!H183</f>
        <v>17425.900000000001</v>
      </c>
      <c r="J13" s="47">
        <f>Total!I183</f>
        <v>9505.82</v>
      </c>
      <c r="K13" s="47">
        <f>Total!J183</f>
        <v>22366.41</v>
      </c>
      <c r="L13" s="47">
        <f>Total!K183</f>
        <v>5752.43</v>
      </c>
      <c r="M13" s="47">
        <f>Total!L183</f>
        <v>50739.79</v>
      </c>
      <c r="N13" s="47">
        <f>Total!M183</f>
        <v>75124.510000000009</v>
      </c>
      <c r="O13" s="47">
        <f>Total!N183</f>
        <v>24384.720000000008</v>
      </c>
    </row>
    <row r="14" spans="1:15" s="13" customFormat="1" ht="16.5" customHeight="1" x14ac:dyDescent="0.25">
      <c r="A14" s="188" t="s">
        <v>48</v>
      </c>
      <c r="B14" s="189"/>
      <c r="C14" s="12">
        <f>Total!B214</f>
        <v>0</v>
      </c>
      <c r="D14" s="12">
        <f>Total!C214</f>
        <v>0</v>
      </c>
      <c r="E14" s="12">
        <f>Total!D214</f>
        <v>0</v>
      </c>
      <c r="F14" s="12">
        <f>Total!E214</f>
        <v>0</v>
      </c>
      <c r="G14" s="47">
        <f>Total!F214</f>
        <v>0</v>
      </c>
      <c r="H14" s="47">
        <f>Total!G214</f>
        <v>0</v>
      </c>
      <c r="I14" s="47">
        <f>Total!H214</f>
        <v>0</v>
      </c>
      <c r="J14" s="47">
        <f>Total!I214</f>
        <v>0</v>
      </c>
      <c r="K14" s="47">
        <f>Total!J214</f>
        <v>0</v>
      </c>
      <c r="L14" s="47">
        <f>Total!K214</f>
        <v>0</v>
      </c>
      <c r="M14" s="47">
        <f>Total!L214</f>
        <v>0</v>
      </c>
      <c r="N14" s="47">
        <f>Total!M214</f>
        <v>0</v>
      </c>
      <c r="O14" s="47">
        <f>Total!N214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Total!B245</f>
        <v>0</v>
      </c>
      <c r="D15" s="12">
        <f>Total!C245</f>
        <v>0</v>
      </c>
      <c r="E15" s="12">
        <f>Total!D245</f>
        <v>0</v>
      </c>
      <c r="F15" s="12">
        <f>Total!E245</f>
        <v>0</v>
      </c>
      <c r="G15" s="47">
        <f>Total!F245</f>
        <v>0</v>
      </c>
      <c r="H15" s="47">
        <f>Total!G245</f>
        <v>0</v>
      </c>
      <c r="I15" s="47">
        <f>Total!H245</f>
        <v>0</v>
      </c>
      <c r="J15" s="47">
        <f>Total!I245</f>
        <v>0</v>
      </c>
      <c r="K15" s="47">
        <f>Total!J245</f>
        <v>0</v>
      </c>
      <c r="L15" s="47">
        <f>Total!K245</f>
        <v>0</v>
      </c>
      <c r="M15" s="47">
        <f>Total!L245</f>
        <v>0</v>
      </c>
      <c r="N15" s="47">
        <f>Total!M245</f>
        <v>0</v>
      </c>
      <c r="O15" s="47">
        <f>Total!N245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Total!B276</f>
        <v>0</v>
      </c>
      <c r="D16" s="12">
        <f>Total!C276</f>
        <v>0</v>
      </c>
      <c r="E16" s="12">
        <f>Total!D276</f>
        <v>0</v>
      </c>
      <c r="F16" s="12">
        <f>Total!E276</f>
        <v>0</v>
      </c>
      <c r="G16" s="47">
        <f>Total!F276</f>
        <v>0</v>
      </c>
      <c r="H16" s="47">
        <f>Total!G276</f>
        <v>0</v>
      </c>
      <c r="I16" s="47">
        <f>Total!H276</f>
        <v>0</v>
      </c>
      <c r="J16" s="47">
        <f>Total!I276</f>
        <v>0</v>
      </c>
      <c r="K16" s="47">
        <f>Total!J276</f>
        <v>0</v>
      </c>
      <c r="L16" s="47">
        <f>Total!K276</f>
        <v>0</v>
      </c>
      <c r="M16" s="47">
        <f>Total!L276</f>
        <v>0</v>
      </c>
      <c r="N16" s="47">
        <f>Total!M276</f>
        <v>0</v>
      </c>
      <c r="O16" s="47">
        <f>Total!N276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Total!B307</f>
        <v>0</v>
      </c>
      <c r="D17" s="12">
        <f>Total!C307</f>
        <v>0</v>
      </c>
      <c r="E17" s="12">
        <f>Total!D307</f>
        <v>0</v>
      </c>
      <c r="F17" s="12">
        <f>Total!E307</f>
        <v>0</v>
      </c>
      <c r="G17" s="47">
        <f>Total!F307</f>
        <v>0</v>
      </c>
      <c r="H17" s="47">
        <f>Total!G307</f>
        <v>0</v>
      </c>
      <c r="I17" s="47">
        <f>Total!H307</f>
        <v>0</v>
      </c>
      <c r="J17" s="47">
        <f>Total!I307</f>
        <v>0</v>
      </c>
      <c r="K17" s="47">
        <f>Total!J307</f>
        <v>0</v>
      </c>
      <c r="L17" s="47">
        <f>Total!K307</f>
        <v>0</v>
      </c>
      <c r="M17" s="47">
        <f>Total!L307</f>
        <v>0</v>
      </c>
      <c r="N17" s="47">
        <f>Total!M307</f>
        <v>0</v>
      </c>
      <c r="O17" s="47">
        <f>Total!N307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Total!B338</f>
        <v>0</v>
      </c>
      <c r="D18" s="12">
        <f>Total!C338</f>
        <v>0</v>
      </c>
      <c r="E18" s="12">
        <f>Total!D338</f>
        <v>0</v>
      </c>
      <c r="F18" s="12">
        <f>Total!E338</f>
        <v>0</v>
      </c>
      <c r="G18" s="47">
        <f>Total!F338</f>
        <v>0</v>
      </c>
      <c r="H18" s="47">
        <f>Total!G338</f>
        <v>0</v>
      </c>
      <c r="I18" s="47">
        <f>Total!H338</f>
        <v>0</v>
      </c>
      <c r="J18" s="47">
        <f>Total!I338</f>
        <v>0</v>
      </c>
      <c r="K18" s="47">
        <f>Total!J338</f>
        <v>0</v>
      </c>
      <c r="L18" s="47">
        <f>Total!K338</f>
        <v>0</v>
      </c>
      <c r="M18" s="47">
        <f>Total!L338</f>
        <v>0</v>
      </c>
      <c r="N18" s="47">
        <f>Total!M338</f>
        <v>0</v>
      </c>
      <c r="O18" s="47">
        <f>Total!N338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Total!B369</f>
        <v>0</v>
      </c>
      <c r="D19" s="12">
        <f>Total!C369</f>
        <v>0</v>
      </c>
      <c r="E19" s="12">
        <f>Total!D369</f>
        <v>0</v>
      </c>
      <c r="F19" s="12">
        <f>Total!E369</f>
        <v>0</v>
      </c>
      <c r="G19" s="48">
        <f>Total!F369</f>
        <v>0</v>
      </c>
      <c r="H19" s="48">
        <f>Total!G369</f>
        <v>0</v>
      </c>
      <c r="I19" s="48">
        <f>Total!H369</f>
        <v>0</v>
      </c>
      <c r="J19" s="48">
        <f>Total!I369</f>
        <v>0</v>
      </c>
      <c r="K19" s="48">
        <f>Total!J369</f>
        <v>0</v>
      </c>
      <c r="L19" s="48">
        <f>Total!K369</f>
        <v>0</v>
      </c>
      <c r="M19" s="48">
        <f>Total!L369</f>
        <v>0</v>
      </c>
      <c r="N19" s="48">
        <f>Total!M369</f>
        <v>0</v>
      </c>
      <c r="O19" s="48">
        <f>Total!N369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15199.91</v>
      </c>
      <c r="H20" s="18">
        <f t="shared" si="0"/>
        <v>116203.48999999999</v>
      </c>
      <c r="I20" s="18">
        <f t="shared" si="0"/>
        <v>34201</v>
      </c>
      <c r="J20" s="18">
        <f t="shared" si="0"/>
        <v>17886.150000000001</v>
      </c>
      <c r="K20" s="18">
        <f t="shared" si="0"/>
        <v>39403.899999999994</v>
      </c>
      <c r="L20" s="18">
        <f t="shared" si="0"/>
        <v>9972.3100000000013</v>
      </c>
      <c r="M20" s="18">
        <f t="shared" si="0"/>
        <v>88804.81</v>
      </c>
      <c r="N20" s="18">
        <f t="shared" si="0"/>
        <v>144061.95000000001</v>
      </c>
      <c r="O20" s="30">
        <f t="shared" si="0"/>
        <v>55257.14</v>
      </c>
    </row>
    <row r="24" spans="1:15" x14ac:dyDescent="0.25">
      <c r="B24" t="s">
        <v>73</v>
      </c>
      <c r="C24" s="20"/>
      <c r="G24" s="20">
        <f>SUM(C20:E20)</f>
        <v>0</v>
      </c>
      <c r="H24" s="20">
        <f>G24-J5</f>
        <v>-2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2" orientation="landscape" copies="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28">
    <tabColor rgb="FF00B050"/>
    <pageSetUpPr fitToPage="1"/>
  </sheetPr>
  <dimension ref="A1:O23"/>
  <sheetViews>
    <sheetView workbookViewId="0">
      <selection sqref="A1:O20"/>
    </sheetView>
  </sheetViews>
  <sheetFormatPr defaultRowHeight="15" x14ac:dyDescent="0.25"/>
  <cols>
    <col min="1" max="6" width="8.7109375" customWidth="1"/>
    <col min="7" max="7" width="10.85546875" bestFit="1" customWidth="1"/>
    <col min="8" max="8" width="10.7109375" bestFit="1" customWidth="1"/>
    <col min="9" max="9" width="14" bestFit="1" customWidth="1"/>
    <col min="10" max="10" width="12" bestFit="1" customWidth="1"/>
    <col min="11" max="11" width="10.85546875" bestFit="1" customWidth="1"/>
    <col min="12" max="12" width="10.7109375" bestFit="1" customWidth="1"/>
    <col min="13" max="14" width="14" bestFit="1" customWidth="1"/>
    <col min="15" max="15" width="14" style="28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40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15.75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convenio'!$O$37</f>
        <v>3487</v>
      </c>
      <c r="H5" s="191" t="s">
        <v>65</v>
      </c>
      <c r="I5" s="173"/>
      <c r="J5" s="61">
        <f>'[3]intern. diaria convenio'!$O$83</f>
        <v>36895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78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Total!B29</f>
        <v>0</v>
      </c>
      <c r="D8" s="12">
        <f>Total!C29</f>
        <v>0</v>
      </c>
      <c r="E8" s="12">
        <f>Total!D29</f>
        <v>0</v>
      </c>
      <c r="F8" s="12">
        <f>Total!E29</f>
        <v>0</v>
      </c>
      <c r="G8" s="46">
        <f>Total!F29</f>
        <v>0</v>
      </c>
      <c r="H8" s="46">
        <f>Total!G29</f>
        <v>0</v>
      </c>
      <c r="I8" s="46">
        <f>Total!H29</f>
        <v>2209882.9500000002</v>
      </c>
      <c r="J8" s="46">
        <f>Total!I29</f>
        <v>0</v>
      </c>
      <c r="K8" s="46">
        <f>Total!J29</f>
        <v>0</v>
      </c>
      <c r="L8" s="46">
        <f>Total!K29</f>
        <v>0</v>
      </c>
      <c r="M8" s="46">
        <f>Total!L29</f>
        <v>2209882.9500000002</v>
      </c>
      <c r="N8" s="46">
        <f>Total!M29</f>
        <v>2327154.34</v>
      </c>
      <c r="O8" s="46">
        <f>Total!N29</f>
        <v>117271.38999999966</v>
      </c>
    </row>
    <row r="9" spans="1:15" s="13" customFormat="1" ht="16.5" customHeight="1" x14ac:dyDescent="0.25">
      <c r="A9" s="188" t="s">
        <v>43</v>
      </c>
      <c r="B9" s="189"/>
      <c r="C9" s="12">
        <f>Total!B60</f>
        <v>0</v>
      </c>
      <c r="D9" s="12">
        <f>Total!C60</f>
        <v>0</v>
      </c>
      <c r="E9" s="12">
        <f>Total!D60</f>
        <v>0</v>
      </c>
      <c r="F9" s="12">
        <f>Total!E60</f>
        <v>0</v>
      </c>
      <c r="G9" s="47">
        <f>Total!F60</f>
        <v>0</v>
      </c>
      <c r="H9" s="47">
        <f>Total!G60</f>
        <v>0</v>
      </c>
      <c r="I9" s="47">
        <f>Total!H60</f>
        <v>2013681.81</v>
      </c>
      <c r="J9" s="47">
        <f>Total!I60</f>
        <v>0</v>
      </c>
      <c r="K9" s="47">
        <f>Total!J60</f>
        <v>0</v>
      </c>
      <c r="L9" s="47">
        <f>Total!K60</f>
        <v>0</v>
      </c>
      <c r="M9" s="47">
        <f>Total!L60</f>
        <v>2013681.81</v>
      </c>
      <c r="N9" s="47">
        <f>Total!M60</f>
        <v>2398651.06</v>
      </c>
      <c r="O9" s="47">
        <f>Total!N60</f>
        <v>384969.25</v>
      </c>
    </row>
    <row r="10" spans="1:15" s="13" customFormat="1" ht="16.5" customHeight="1" x14ac:dyDescent="0.25">
      <c r="A10" s="188" t="s">
        <v>44</v>
      </c>
      <c r="B10" s="189"/>
      <c r="C10" s="12">
        <f>Total!B91</f>
        <v>0</v>
      </c>
      <c r="D10" s="12">
        <f>Total!C91</f>
        <v>0</v>
      </c>
      <c r="E10" s="12">
        <f>Total!D91</f>
        <v>0</v>
      </c>
      <c r="F10" s="12">
        <f>Total!E91</f>
        <v>0</v>
      </c>
      <c r="G10" s="47">
        <f>Total!F91</f>
        <v>0</v>
      </c>
      <c r="H10" s="47">
        <f>Total!G91</f>
        <v>0</v>
      </c>
      <c r="I10" s="47">
        <f>Total!H91</f>
        <v>1768065.9</v>
      </c>
      <c r="J10" s="47">
        <f>Total!I91</f>
        <v>0</v>
      </c>
      <c r="K10" s="47">
        <f>Total!J91</f>
        <v>0</v>
      </c>
      <c r="L10" s="47">
        <f>Total!K91</f>
        <v>0</v>
      </c>
      <c r="M10" s="47">
        <f>Total!L91</f>
        <v>1768065.9</v>
      </c>
      <c r="N10" s="47">
        <f>Total!M91</f>
        <v>2329414.52</v>
      </c>
      <c r="O10" s="47">
        <f>Total!N91</f>
        <v>561348.62000000011</v>
      </c>
    </row>
    <row r="11" spans="1:15" s="13" customFormat="1" ht="16.5" customHeight="1" x14ac:dyDescent="0.25">
      <c r="A11" s="188" t="s">
        <v>45</v>
      </c>
      <c r="B11" s="189"/>
      <c r="C11" s="12">
        <f>Total!B122</f>
        <v>0</v>
      </c>
      <c r="D11" s="12">
        <f>Total!C122</f>
        <v>0</v>
      </c>
      <c r="E11" s="12">
        <f>Total!D122</f>
        <v>0</v>
      </c>
      <c r="F11" s="12">
        <f>Total!E122</f>
        <v>0</v>
      </c>
      <c r="G11" s="47">
        <f>Total!F122</f>
        <v>0</v>
      </c>
      <c r="H11" s="47">
        <f>Total!G122</f>
        <v>0</v>
      </c>
      <c r="I11" s="47">
        <f>Total!H122</f>
        <v>1649597.92</v>
      </c>
      <c r="J11" s="47">
        <f>Total!I122</f>
        <v>0</v>
      </c>
      <c r="K11" s="47">
        <f>Total!J122</f>
        <v>0</v>
      </c>
      <c r="L11" s="47">
        <f>Total!K122</f>
        <v>0</v>
      </c>
      <c r="M11" s="47">
        <f>Total!L122</f>
        <v>1649597.92</v>
      </c>
      <c r="N11" s="47">
        <f>Total!M122</f>
        <v>2333279.16</v>
      </c>
      <c r="O11" s="47">
        <f>Total!N122</f>
        <v>683681.24000000022</v>
      </c>
    </row>
    <row r="12" spans="1:15" s="13" customFormat="1" ht="16.5" customHeight="1" x14ac:dyDescent="0.25">
      <c r="A12" s="188" t="s">
        <v>46</v>
      </c>
      <c r="B12" s="189"/>
      <c r="C12" s="12">
        <f>Total!B153</f>
        <v>0</v>
      </c>
      <c r="D12" s="12">
        <f>Total!C153</f>
        <v>0</v>
      </c>
      <c r="E12" s="12">
        <f>Total!D153</f>
        <v>0</v>
      </c>
      <c r="F12" s="12">
        <f>Total!E153</f>
        <v>0</v>
      </c>
      <c r="G12" s="47">
        <f>Total!F153</f>
        <v>0</v>
      </c>
      <c r="H12" s="47">
        <f>Total!G153</f>
        <v>0</v>
      </c>
      <c r="I12" s="47">
        <f>Total!H153</f>
        <v>670834.43000000005</v>
      </c>
      <c r="J12" s="47">
        <f>Total!I153</f>
        <v>0</v>
      </c>
      <c r="K12" s="47">
        <f>Total!J153</f>
        <v>0</v>
      </c>
      <c r="L12" s="47">
        <f>Total!K153</f>
        <v>0</v>
      </c>
      <c r="M12" s="47">
        <f>Total!L153</f>
        <v>670834.43000000005</v>
      </c>
      <c r="N12" s="47">
        <f>Total!M153</f>
        <v>2361426.9900000002</v>
      </c>
      <c r="O12" s="47">
        <f>Total!N153</f>
        <v>1690592.56</v>
      </c>
    </row>
    <row r="13" spans="1:15" s="13" customFormat="1" ht="16.5" customHeight="1" x14ac:dyDescent="0.25">
      <c r="A13" s="188" t="s">
        <v>47</v>
      </c>
      <c r="B13" s="189"/>
      <c r="C13" s="12">
        <f>Total!B184</f>
        <v>0</v>
      </c>
      <c r="D13" s="12">
        <f>Total!C184</f>
        <v>0</v>
      </c>
      <c r="E13" s="12">
        <f>Total!D184</f>
        <v>0</v>
      </c>
      <c r="F13" s="12">
        <f>Total!E184</f>
        <v>0</v>
      </c>
      <c r="G13" s="47">
        <f>Total!F184</f>
        <v>0</v>
      </c>
      <c r="H13" s="47">
        <f>Total!G184</f>
        <v>0</v>
      </c>
      <c r="I13" s="47">
        <f>Total!H184</f>
        <v>13266.3</v>
      </c>
      <c r="J13" s="47">
        <f>Total!I184</f>
        <v>0</v>
      </c>
      <c r="K13" s="47">
        <f>Total!J184</f>
        <v>0</v>
      </c>
      <c r="L13" s="47">
        <f>Total!K184</f>
        <v>0</v>
      </c>
      <c r="M13" s="47">
        <f>Total!L184</f>
        <v>13266.3</v>
      </c>
      <c r="N13" s="47">
        <f>Total!M184</f>
        <v>2536685.71</v>
      </c>
      <c r="O13" s="47">
        <f>Total!N184</f>
        <v>2523419.41</v>
      </c>
    </row>
    <row r="14" spans="1:15" s="13" customFormat="1" ht="16.5" customHeight="1" x14ac:dyDescent="0.25">
      <c r="A14" s="188" t="s">
        <v>48</v>
      </c>
      <c r="B14" s="189"/>
      <c r="C14" s="12">
        <f>Total!B215</f>
        <v>0</v>
      </c>
      <c r="D14" s="12">
        <f>Total!C215</f>
        <v>2203</v>
      </c>
      <c r="E14" s="12">
        <f>Total!D215</f>
        <v>107</v>
      </c>
      <c r="F14" s="12">
        <f>Total!E215</f>
        <v>192</v>
      </c>
      <c r="G14" s="47">
        <f>Total!F215</f>
        <v>0</v>
      </c>
      <c r="H14" s="47">
        <f>Total!G215</f>
        <v>0</v>
      </c>
      <c r="I14" s="47">
        <f>Total!H215</f>
        <v>0</v>
      </c>
      <c r="J14" s="47">
        <f>Total!I215</f>
        <v>0</v>
      </c>
      <c r="K14" s="47">
        <f>Total!J215</f>
        <v>0</v>
      </c>
      <c r="L14" s="47">
        <f>Total!K215</f>
        <v>0</v>
      </c>
      <c r="M14" s="47">
        <f>Total!L215</f>
        <v>0</v>
      </c>
      <c r="N14" s="47">
        <f>Total!M215</f>
        <v>2412845.4700000002</v>
      </c>
      <c r="O14" s="47">
        <f>Total!N215</f>
        <v>2412845.4700000002</v>
      </c>
    </row>
    <row r="15" spans="1:15" s="13" customFormat="1" ht="16.5" customHeight="1" x14ac:dyDescent="0.25">
      <c r="A15" s="188" t="s">
        <v>49</v>
      </c>
      <c r="B15" s="189"/>
      <c r="C15" s="12">
        <f>Total!B246</f>
        <v>0</v>
      </c>
      <c r="D15" s="12">
        <f>Total!C246</f>
        <v>2352</v>
      </c>
      <c r="E15" s="12">
        <f>Total!D246</f>
        <v>255</v>
      </c>
      <c r="F15" s="12">
        <f>Total!E246</f>
        <v>249</v>
      </c>
      <c r="G15" s="47">
        <f>Total!F246</f>
        <v>0</v>
      </c>
      <c r="H15" s="47">
        <f>Total!G246</f>
        <v>0</v>
      </c>
      <c r="I15" s="47">
        <f>Total!H246</f>
        <v>0</v>
      </c>
      <c r="J15" s="47">
        <f>Total!I246</f>
        <v>0</v>
      </c>
      <c r="K15" s="47">
        <f>Total!J246</f>
        <v>0</v>
      </c>
      <c r="L15" s="47">
        <f>Total!K246</f>
        <v>0</v>
      </c>
      <c r="M15" s="47">
        <f>Total!L246</f>
        <v>0</v>
      </c>
      <c r="N15" s="47">
        <f>Total!M246</f>
        <v>2671092.11</v>
      </c>
      <c r="O15" s="47">
        <f>Total!N246</f>
        <v>2671092.11</v>
      </c>
    </row>
    <row r="16" spans="1:15" s="13" customFormat="1" ht="16.5" customHeight="1" x14ac:dyDescent="0.25">
      <c r="A16" s="188" t="s">
        <v>50</v>
      </c>
      <c r="B16" s="189"/>
      <c r="C16" s="12">
        <f>Total!B277</f>
        <v>0</v>
      </c>
      <c r="D16" s="12">
        <f>Total!C277</f>
        <v>2452</v>
      </c>
      <c r="E16" s="12">
        <f>Total!D277</f>
        <v>205</v>
      </c>
      <c r="F16" s="12">
        <f>Total!E277</f>
        <v>227</v>
      </c>
      <c r="G16" s="47">
        <f>Total!F277</f>
        <v>0</v>
      </c>
      <c r="H16" s="47">
        <f>Total!G277</f>
        <v>0</v>
      </c>
      <c r="I16" s="47">
        <f>Total!H277</f>
        <v>0</v>
      </c>
      <c r="J16" s="47">
        <f>Total!I277</f>
        <v>0</v>
      </c>
      <c r="K16" s="47">
        <f>Total!J277</f>
        <v>0</v>
      </c>
      <c r="L16" s="47">
        <f>Total!K277</f>
        <v>0</v>
      </c>
      <c r="M16" s="47">
        <f>Total!L277</f>
        <v>0</v>
      </c>
      <c r="N16" s="47">
        <f>Total!M277</f>
        <v>0</v>
      </c>
      <c r="O16" s="47">
        <f>Total!N277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Total!B308</f>
        <v>0</v>
      </c>
      <c r="D17" s="12">
        <f>Total!C308</f>
        <v>2160</v>
      </c>
      <c r="E17" s="12">
        <f>Total!D308</f>
        <v>110</v>
      </c>
      <c r="F17" s="12">
        <f>Total!E308</f>
        <v>283</v>
      </c>
      <c r="G17" s="47">
        <f>Total!F308</f>
        <v>0</v>
      </c>
      <c r="H17" s="47">
        <f>Total!G308</f>
        <v>0</v>
      </c>
      <c r="I17" s="47">
        <f>Total!H308</f>
        <v>0</v>
      </c>
      <c r="J17" s="47">
        <f>Total!I308</f>
        <v>0</v>
      </c>
      <c r="K17" s="47">
        <f>Total!J308</f>
        <v>0</v>
      </c>
      <c r="L17" s="47">
        <f>Total!K308</f>
        <v>0</v>
      </c>
      <c r="M17" s="47">
        <f>Total!L308</f>
        <v>0</v>
      </c>
      <c r="N17" s="47">
        <f>Total!M308</f>
        <v>2121420.25</v>
      </c>
      <c r="O17" s="47">
        <f>Total!N308</f>
        <v>2121420.25</v>
      </c>
    </row>
    <row r="18" spans="1:15" s="13" customFormat="1" ht="16.5" customHeight="1" x14ac:dyDescent="0.25">
      <c r="A18" s="188" t="s">
        <v>53</v>
      </c>
      <c r="B18" s="189"/>
      <c r="C18" s="12">
        <f>Total!B339</f>
        <v>0</v>
      </c>
      <c r="D18" s="12">
        <f>Total!C339</f>
        <v>1107</v>
      </c>
      <c r="E18" s="12">
        <f>Total!D339</f>
        <v>120</v>
      </c>
      <c r="F18" s="12">
        <f>Total!E339</f>
        <v>154</v>
      </c>
      <c r="G18" s="47">
        <f>Total!F339</f>
        <v>0</v>
      </c>
      <c r="H18" s="47">
        <f>Total!G339</f>
        <v>0</v>
      </c>
      <c r="I18" s="47">
        <f>Total!H339</f>
        <v>0</v>
      </c>
      <c r="J18" s="47">
        <f>Total!I339</f>
        <v>0</v>
      </c>
      <c r="K18" s="47">
        <f>Total!J339</f>
        <v>0</v>
      </c>
      <c r="L18" s="47">
        <f>Total!K339</f>
        <v>0</v>
      </c>
      <c r="M18" s="47">
        <f>Total!L339</f>
        <v>0</v>
      </c>
      <c r="N18" s="47">
        <f>Total!M339</f>
        <v>2241314.9300000002</v>
      </c>
      <c r="O18" s="47">
        <f>Total!N339</f>
        <v>2241314.9300000002</v>
      </c>
    </row>
    <row r="19" spans="1:15" s="13" customFormat="1" ht="16.5" customHeight="1" thickBot="1" x14ac:dyDescent="0.3">
      <c r="A19" s="188" t="s">
        <v>54</v>
      </c>
      <c r="B19" s="189"/>
      <c r="C19" s="12">
        <f>Total!B370</f>
        <v>0</v>
      </c>
      <c r="D19" s="12">
        <f>Total!C370</f>
        <v>0</v>
      </c>
      <c r="E19" s="12">
        <f>Total!D370</f>
        <v>0</v>
      </c>
      <c r="F19" s="12">
        <f>Total!E370</f>
        <v>0</v>
      </c>
      <c r="G19" s="48">
        <f>Total!F370</f>
        <v>0</v>
      </c>
      <c r="H19" s="48">
        <f>Total!G370</f>
        <v>0</v>
      </c>
      <c r="I19" s="48">
        <f>Total!H370</f>
        <v>0</v>
      </c>
      <c r="J19" s="48">
        <f>Total!I370</f>
        <v>0</v>
      </c>
      <c r="K19" s="48">
        <f>Total!J370</f>
        <v>0</v>
      </c>
      <c r="L19" s="48">
        <f>Total!K370</f>
        <v>0</v>
      </c>
      <c r="M19" s="48">
        <f>Total!L370</f>
        <v>0</v>
      </c>
      <c r="N19" s="48">
        <f>Total!M370</f>
        <v>0</v>
      </c>
      <c r="O19" s="48">
        <f>Total!N370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10274</v>
      </c>
      <c r="E20" s="17">
        <f t="shared" si="0"/>
        <v>797</v>
      </c>
      <c r="F20" s="17">
        <f t="shared" si="0"/>
        <v>1105</v>
      </c>
      <c r="G20" s="18">
        <f t="shared" si="0"/>
        <v>0</v>
      </c>
      <c r="H20" s="18">
        <f t="shared" si="0"/>
        <v>0</v>
      </c>
      <c r="I20" s="18">
        <f t="shared" si="0"/>
        <v>8325329.3099999996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8325329.3099999996</v>
      </c>
      <c r="N20" s="18">
        <f t="shared" si="0"/>
        <v>23733284.540000003</v>
      </c>
      <c r="O20" s="30">
        <f t="shared" si="0"/>
        <v>15407955.23</v>
      </c>
    </row>
    <row r="23" spans="1:15" x14ac:dyDescent="0.25">
      <c r="J23">
        <v>14794148.83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1" orientation="landscape" copies="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29">
    <tabColor rgb="FF00B050"/>
    <pageSetUpPr fitToPage="1"/>
  </sheetPr>
  <dimension ref="A1:U24"/>
  <sheetViews>
    <sheetView workbookViewId="0">
      <selection activeCell="T21" sqref="T21"/>
    </sheetView>
  </sheetViews>
  <sheetFormatPr defaultRowHeight="15" x14ac:dyDescent="0.25"/>
  <cols>
    <col min="1" max="6" width="8.7109375" customWidth="1"/>
    <col min="7" max="10" width="12.85546875" bestFit="1" customWidth="1"/>
    <col min="11" max="11" width="11.28515625" bestFit="1" customWidth="1"/>
    <col min="12" max="14" width="12.85546875" bestFit="1" customWidth="1"/>
    <col min="15" max="15" width="12.28515625" bestFit="1" customWidth="1"/>
  </cols>
  <sheetData>
    <row r="1" spans="1:21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2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21" ht="15.75" customHeight="1" x14ac:dyDescent="0.25">
      <c r="A3" s="4" t="s">
        <v>42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21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21" ht="15.75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convenio'!$O$41</f>
        <v>441</v>
      </c>
      <c r="H5" s="191" t="s">
        <v>65</v>
      </c>
      <c r="I5" s="173"/>
      <c r="J5" s="61">
        <f>'[3]intern. diaria convenio'!$O$87</f>
        <v>3910</v>
      </c>
      <c r="K5" s="59"/>
      <c r="L5" s="59"/>
      <c r="M5" s="59"/>
      <c r="N5" s="59"/>
      <c r="O5" s="62"/>
    </row>
    <row r="6" spans="1:21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21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  <c r="U7" s="13" t="s">
        <v>17</v>
      </c>
    </row>
    <row r="8" spans="1:21" s="13" customFormat="1" ht="16.5" customHeight="1" x14ac:dyDescent="0.25">
      <c r="A8" s="192" t="s">
        <v>1</v>
      </c>
      <c r="B8" s="193"/>
      <c r="C8" s="12">
        <f>Total!B31</f>
        <v>0</v>
      </c>
      <c r="D8" s="12">
        <f>Total!C31</f>
        <v>0</v>
      </c>
      <c r="E8" s="12">
        <f>Total!D31</f>
        <v>0</v>
      </c>
      <c r="F8" s="12">
        <f>Total!E31</f>
        <v>0</v>
      </c>
      <c r="G8" s="46">
        <f>Total!F31</f>
        <v>1595094.59</v>
      </c>
      <c r="H8" s="15">
        <f>Total!G31</f>
        <v>79677.13</v>
      </c>
      <c r="I8" s="46">
        <f>Total!H31</f>
        <v>222021.68</v>
      </c>
      <c r="J8" s="15">
        <f>Total!I31</f>
        <v>234487.14</v>
      </c>
      <c r="K8" s="46">
        <f>Total!J31</f>
        <v>24216.36</v>
      </c>
      <c r="L8" s="15">
        <f>Total!K31</f>
        <v>48612.72</v>
      </c>
      <c r="M8" s="27">
        <f>Total!L31</f>
        <v>1841332.6300000001</v>
      </c>
      <c r="N8" s="27">
        <f>Total!M31</f>
        <v>362776.99</v>
      </c>
      <c r="O8" s="52">
        <f>Total!N31</f>
        <v>-1478555.6400000001</v>
      </c>
      <c r="U8" s="13" t="s">
        <v>20</v>
      </c>
    </row>
    <row r="9" spans="1:21" s="13" customFormat="1" ht="16.5" customHeight="1" x14ac:dyDescent="0.25">
      <c r="A9" s="188" t="s">
        <v>43</v>
      </c>
      <c r="B9" s="189"/>
      <c r="C9" s="12">
        <f>Total!B62</f>
        <v>0</v>
      </c>
      <c r="D9" s="12">
        <f>Total!C62</f>
        <v>0</v>
      </c>
      <c r="E9" s="12">
        <f>Total!D62</f>
        <v>0</v>
      </c>
      <c r="F9" s="12">
        <f>Total!E62</f>
        <v>0</v>
      </c>
      <c r="G9" s="47">
        <f>Total!F62</f>
        <v>229327.85</v>
      </c>
      <c r="H9" s="15">
        <f>Total!G62</f>
        <v>26622.34</v>
      </c>
      <c r="I9" s="47">
        <f>Total!H62</f>
        <v>145104.06</v>
      </c>
      <c r="J9" s="15">
        <f>Total!I62</f>
        <v>139305.53</v>
      </c>
      <c r="K9" s="47">
        <f>Total!J62</f>
        <v>14236.91</v>
      </c>
      <c r="L9" s="15">
        <f>Total!K62</f>
        <v>18213.740000000002</v>
      </c>
      <c r="M9" s="27">
        <f>Total!L62</f>
        <v>388668.82</v>
      </c>
      <c r="N9" s="27">
        <f>Total!M62</f>
        <v>184141.61</v>
      </c>
      <c r="O9" s="52">
        <f>Total!N62</f>
        <v>-204527.21000000002</v>
      </c>
      <c r="U9" s="13" t="s">
        <v>21</v>
      </c>
    </row>
    <row r="10" spans="1:21" s="13" customFormat="1" ht="16.5" customHeight="1" x14ac:dyDescent="0.25">
      <c r="A10" s="188" t="s">
        <v>44</v>
      </c>
      <c r="B10" s="189"/>
      <c r="C10" s="12">
        <f>Total!B93</f>
        <v>0</v>
      </c>
      <c r="D10" s="12">
        <f>Total!C93</f>
        <v>0</v>
      </c>
      <c r="E10" s="12">
        <f>Total!D93</f>
        <v>0</v>
      </c>
      <c r="F10" s="12">
        <f>Total!E93</f>
        <v>0</v>
      </c>
      <c r="G10" s="47">
        <f>Total!F93</f>
        <v>484559.35</v>
      </c>
      <c r="H10" s="15">
        <f>Total!G93</f>
        <v>79526.84</v>
      </c>
      <c r="I10" s="47">
        <f>Total!H93</f>
        <v>265167.99</v>
      </c>
      <c r="J10" s="15">
        <f>Total!I93</f>
        <v>261621.02</v>
      </c>
      <c r="K10" s="47">
        <f>Total!J93</f>
        <v>34209.300000000003</v>
      </c>
      <c r="L10" s="15">
        <f>Total!K93</f>
        <v>52243.62</v>
      </c>
      <c r="M10" s="27">
        <f>Total!L93</f>
        <v>783936.64</v>
      </c>
      <c r="N10" s="27">
        <f>Total!M93</f>
        <v>393391.48</v>
      </c>
      <c r="O10" s="52">
        <f>Total!N93</f>
        <v>-390545.16000000003</v>
      </c>
      <c r="U10" s="13" t="s">
        <v>79</v>
      </c>
    </row>
    <row r="11" spans="1:21" s="13" customFormat="1" ht="16.5" customHeight="1" x14ac:dyDescent="0.25">
      <c r="A11" s="188" t="s">
        <v>45</v>
      </c>
      <c r="B11" s="189"/>
      <c r="C11" s="12">
        <f>Total!B124</f>
        <v>0</v>
      </c>
      <c r="D11" s="12">
        <f>Total!C124</f>
        <v>0</v>
      </c>
      <c r="E11" s="12">
        <f>Total!D124</f>
        <v>0</v>
      </c>
      <c r="F11" s="12">
        <f>Total!E124</f>
        <v>0</v>
      </c>
      <c r="G11" s="47">
        <f>Total!F124</f>
        <v>462581.1</v>
      </c>
      <c r="H11" s="15">
        <f>Total!G124</f>
        <v>103428.43</v>
      </c>
      <c r="I11" s="47">
        <f>Total!H124</f>
        <v>297991.8</v>
      </c>
      <c r="J11" s="15">
        <f>Total!I124</f>
        <v>307316.08</v>
      </c>
      <c r="K11" s="47">
        <f>Total!J124</f>
        <v>26474.9</v>
      </c>
      <c r="L11" s="15">
        <f>Total!K124</f>
        <v>52925.72</v>
      </c>
      <c r="M11" s="27">
        <f>Total!L124</f>
        <v>787047.79999999993</v>
      </c>
      <c r="N11" s="27">
        <f>Total!M124</f>
        <v>463670.23</v>
      </c>
      <c r="O11" s="52">
        <f>Total!N124</f>
        <v>-323377.56999999995</v>
      </c>
      <c r="U11" s="13" t="s">
        <v>24</v>
      </c>
    </row>
    <row r="12" spans="1:21" s="13" customFormat="1" ht="16.5" customHeight="1" x14ac:dyDescent="0.25">
      <c r="A12" s="188" t="s">
        <v>46</v>
      </c>
      <c r="B12" s="189"/>
      <c r="C12" s="12">
        <f>Total!B155</f>
        <v>0</v>
      </c>
      <c r="D12" s="12">
        <f>Total!C155</f>
        <v>0</v>
      </c>
      <c r="E12" s="12">
        <f>Total!D155</f>
        <v>0</v>
      </c>
      <c r="F12" s="12">
        <f>Total!E155</f>
        <v>0</v>
      </c>
      <c r="G12" s="47">
        <f>Total!F155</f>
        <v>407200</v>
      </c>
      <c r="H12" s="15">
        <f>Total!G155</f>
        <v>73232.03</v>
      </c>
      <c r="I12" s="47">
        <f>Total!H155</f>
        <v>219534.48</v>
      </c>
      <c r="J12" s="15">
        <f>Total!I155</f>
        <v>225164.38</v>
      </c>
      <c r="K12" s="47">
        <f>Total!J155</f>
        <v>27628.95</v>
      </c>
      <c r="L12" s="15">
        <f>Total!K155</f>
        <v>44173.39</v>
      </c>
      <c r="M12" s="27">
        <f>Total!L155</f>
        <v>654363.42999999993</v>
      </c>
      <c r="N12" s="27">
        <f>Total!M155</f>
        <v>342569.80000000005</v>
      </c>
      <c r="O12" s="52">
        <f>Total!N155</f>
        <v>-311793.62999999989</v>
      </c>
      <c r="U12" s="13" t="s">
        <v>26</v>
      </c>
    </row>
    <row r="13" spans="1:21" s="13" customFormat="1" ht="16.5" customHeight="1" x14ac:dyDescent="0.25">
      <c r="A13" s="188" t="s">
        <v>47</v>
      </c>
      <c r="B13" s="189"/>
      <c r="C13" s="12">
        <f>Total!B186</f>
        <v>0</v>
      </c>
      <c r="D13" s="12">
        <f>Total!C186</f>
        <v>0</v>
      </c>
      <c r="E13" s="12">
        <f>Total!D186</f>
        <v>0</v>
      </c>
      <c r="F13" s="12">
        <f>Total!E186</f>
        <v>0</v>
      </c>
      <c r="G13" s="47">
        <f>Total!F186</f>
        <v>557353.59</v>
      </c>
      <c r="H13" s="15">
        <f>Total!G186</f>
        <v>96910.720000000001</v>
      </c>
      <c r="I13" s="47">
        <f>Total!H186</f>
        <v>287491.93</v>
      </c>
      <c r="J13" s="15">
        <f>Total!I186</f>
        <v>282459.65999999997</v>
      </c>
      <c r="K13" s="47">
        <f>Total!J186</f>
        <v>37252.620000000003</v>
      </c>
      <c r="L13" s="15">
        <f>Total!K186</f>
        <v>66852.63</v>
      </c>
      <c r="M13" s="27">
        <f>Total!L186</f>
        <v>882098.14</v>
      </c>
      <c r="N13" s="27">
        <f>Total!M186</f>
        <v>446223.01</v>
      </c>
      <c r="O13" s="52">
        <f>Total!N186</f>
        <v>-435875.13</v>
      </c>
      <c r="U13" s="13" t="s">
        <v>27</v>
      </c>
    </row>
    <row r="14" spans="1:21" s="13" customFormat="1" ht="16.5" customHeight="1" x14ac:dyDescent="0.25">
      <c r="A14" s="188" t="s">
        <v>48</v>
      </c>
      <c r="B14" s="189"/>
      <c r="C14" s="12">
        <f>Total!B217</f>
        <v>150</v>
      </c>
      <c r="D14" s="12">
        <f>Total!C217</f>
        <v>125</v>
      </c>
      <c r="E14" s="12">
        <f>Total!D217</f>
        <v>14</v>
      </c>
      <c r="F14" s="12">
        <f>Total!E217</f>
        <v>52</v>
      </c>
      <c r="G14" s="47">
        <f>Total!F217</f>
        <v>0</v>
      </c>
      <c r="H14" s="15">
        <f>Total!G217</f>
        <v>0</v>
      </c>
      <c r="I14" s="47">
        <f>Total!H217</f>
        <v>0</v>
      </c>
      <c r="J14" s="15">
        <f>Total!I217</f>
        <v>0</v>
      </c>
      <c r="K14" s="47">
        <f>Total!J217</f>
        <v>0</v>
      </c>
      <c r="L14" s="47">
        <f>Total!K217</f>
        <v>0</v>
      </c>
      <c r="M14" s="26">
        <f>Total!L217</f>
        <v>0</v>
      </c>
      <c r="N14" s="27">
        <f>Total!M217</f>
        <v>0</v>
      </c>
      <c r="O14" s="52">
        <f>Total!N217</f>
        <v>0</v>
      </c>
      <c r="U14" s="13" t="s">
        <v>29</v>
      </c>
    </row>
    <row r="15" spans="1:21" s="13" customFormat="1" ht="16.5" customHeight="1" x14ac:dyDescent="0.25">
      <c r="A15" s="188" t="s">
        <v>49</v>
      </c>
      <c r="B15" s="189"/>
      <c r="C15" s="12">
        <f>Total!B248</f>
        <v>124</v>
      </c>
      <c r="D15" s="12">
        <f>Total!C248</f>
        <v>104</v>
      </c>
      <c r="E15" s="12">
        <f>Total!D248</f>
        <v>4</v>
      </c>
      <c r="F15" s="12">
        <f>Total!E248</f>
        <v>9</v>
      </c>
      <c r="G15" s="47">
        <f>Total!F248</f>
        <v>0</v>
      </c>
      <c r="H15" s="15">
        <f>Total!G248</f>
        <v>0</v>
      </c>
      <c r="I15" s="47">
        <f>Total!H248</f>
        <v>0</v>
      </c>
      <c r="J15" s="15">
        <f>Total!I248</f>
        <v>0</v>
      </c>
      <c r="K15" s="47">
        <f>Total!J248</f>
        <v>0</v>
      </c>
      <c r="L15" s="15">
        <f>Total!K248</f>
        <v>0</v>
      </c>
      <c r="M15" s="27">
        <f>Total!L248</f>
        <v>0</v>
      </c>
      <c r="N15" s="27">
        <f>Total!M248</f>
        <v>0</v>
      </c>
      <c r="O15" s="52">
        <f>Total!N248</f>
        <v>0</v>
      </c>
      <c r="U15" s="13" t="s">
        <v>30</v>
      </c>
    </row>
    <row r="16" spans="1:21" s="13" customFormat="1" ht="16.5" customHeight="1" x14ac:dyDescent="0.25">
      <c r="A16" s="188" t="s">
        <v>50</v>
      </c>
      <c r="B16" s="189"/>
      <c r="C16" s="12">
        <f>Total!B279</f>
        <v>200</v>
      </c>
      <c r="D16" s="12">
        <f>Total!C279</f>
        <v>168</v>
      </c>
      <c r="E16" s="12">
        <f>Total!D279</f>
        <v>0</v>
      </c>
      <c r="F16" s="12">
        <f>Total!E279</f>
        <v>12</v>
      </c>
      <c r="G16" s="47">
        <f>Total!F279</f>
        <v>0</v>
      </c>
      <c r="H16" s="15">
        <f>Total!G279</f>
        <v>0</v>
      </c>
      <c r="I16" s="47">
        <f>Total!H279</f>
        <v>0</v>
      </c>
      <c r="J16" s="15">
        <f>Total!I279</f>
        <v>0</v>
      </c>
      <c r="K16" s="47">
        <f>Total!J279</f>
        <v>0</v>
      </c>
      <c r="L16" s="15">
        <f>Total!K279</f>
        <v>0</v>
      </c>
      <c r="M16" s="27">
        <f>Total!L279</f>
        <v>0</v>
      </c>
      <c r="N16" s="27">
        <f>Total!M279</f>
        <v>0</v>
      </c>
      <c r="O16" s="52">
        <f>Total!N279</f>
        <v>0</v>
      </c>
      <c r="U16" s="13" t="s">
        <v>32</v>
      </c>
    </row>
    <row r="17" spans="1:21" s="13" customFormat="1" ht="16.5" customHeight="1" x14ac:dyDescent="0.25">
      <c r="A17" s="188" t="s">
        <v>51</v>
      </c>
      <c r="B17" s="189"/>
      <c r="C17" s="12">
        <f>Total!B310</f>
        <v>124</v>
      </c>
      <c r="D17" s="12">
        <f>Total!C310</f>
        <v>226</v>
      </c>
      <c r="E17" s="12">
        <f>Total!D310</f>
        <v>24</v>
      </c>
      <c r="F17" s="12">
        <f>Total!E310</f>
        <v>28</v>
      </c>
      <c r="G17" s="47">
        <f>Total!F310</f>
        <v>0</v>
      </c>
      <c r="H17" s="15">
        <f>Total!G310</f>
        <v>0</v>
      </c>
      <c r="I17" s="47">
        <f>Total!H310</f>
        <v>0</v>
      </c>
      <c r="J17" s="15">
        <f>Total!I310</f>
        <v>0</v>
      </c>
      <c r="K17" s="47">
        <f>Total!J310</f>
        <v>0</v>
      </c>
      <c r="L17" s="15">
        <f>Total!K310</f>
        <v>0</v>
      </c>
      <c r="M17" s="27">
        <f>Total!L310</f>
        <v>0</v>
      </c>
      <c r="N17" s="27">
        <f>Total!M310</f>
        <v>0</v>
      </c>
      <c r="O17" s="52">
        <f>Total!N310</f>
        <v>0</v>
      </c>
      <c r="U17" s="13" t="s">
        <v>35</v>
      </c>
    </row>
    <row r="18" spans="1:21" s="13" customFormat="1" ht="16.5" customHeight="1" x14ac:dyDescent="0.25">
      <c r="A18" s="188" t="s">
        <v>53</v>
      </c>
      <c r="B18" s="189"/>
      <c r="C18" s="12">
        <f>Total!B341</f>
        <v>78</v>
      </c>
      <c r="D18" s="12">
        <f>Total!C341</f>
        <v>133</v>
      </c>
      <c r="E18" s="12">
        <f>Total!D341</f>
        <v>11</v>
      </c>
      <c r="F18" s="12">
        <f>Total!E341</f>
        <v>9</v>
      </c>
      <c r="G18" s="47">
        <f>Total!F341</f>
        <v>0</v>
      </c>
      <c r="H18" s="15">
        <f>Total!G341</f>
        <v>0</v>
      </c>
      <c r="I18" s="47">
        <f>Total!H341</f>
        <v>0</v>
      </c>
      <c r="J18" s="15">
        <f>Total!I341</f>
        <v>0</v>
      </c>
      <c r="K18" s="47">
        <f>Total!J341</f>
        <v>0</v>
      </c>
      <c r="L18" s="15">
        <f>Total!K341</f>
        <v>0</v>
      </c>
      <c r="M18" s="27">
        <f>Total!L341</f>
        <v>0</v>
      </c>
      <c r="N18" s="27">
        <f>Total!M341</f>
        <v>0</v>
      </c>
      <c r="O18" s="52">
        <f>Total!N341</f>
        <v>0</v>
      </c>
      <c r="U18" s="13" t="s">
        <v>36</v>
      </c>
    </row>
    <row r="19" spans="1:21" s="13" customFormat="1" ht="16.5" customHeight="1" thickBot="1" x14ac:dyDescent="0.3">
      <c r="A19" s="188" t="s">
        <v>54</v>
      </c>
      <c r="B19" s="189"/>
      <c r="C19" s="12">
        <f>Total!B372</f>
        <v>0</v>
      </c>
      <c r="D19" s="12">
        <f>Total!C372</f>
        <v>0</v>
      </c>
      <c r="E19" s="12">
        <f>Total!D372</f>
        <v>0</v>
      </c>
      <c r="F19" s="12">
        <f>Total!E372</f>
        <v>0</v>
      </c>
      <c r="G19" s="48">
        <f>Total!F372</f>
        <v>0</v>
      </c>
      <c r="H19" s="15">
        <f>Total!G372</f>
        <v>0</v>
      </c>
      <c r="I19" s="48">
        <f>Total!H372</f>
        <v>0</v>
      </c>
      <c r="J19" s="15">
        <f>Total!I372</f>
        <v>0</v>
      </c>
      <c r="K19" s="48">
        <f>Total!J372</f>
        <v>0</v>
      </c>
      <c r="L19" s="15">
        <f>Total!K372</f>
        <v>0</v>
      </c>
      <c r="M19" s="27">
        <f>Total!L372</f>
        <v>0</v>
      </c>
      <c r="N19" s="27">
        <f>Total!M372</f>
        <v>0</v>
      </c>
      <c r="O19" s="52">
        <f>Total!N372</f>
        <v>0</v>
      </c>
      <c r="U19" s="13" t="s">
        <v>38</v>
      </c>
    </row>
    <row r="20" spans="1:21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676</v>
      </c>
      <c r="D20" s="17">
        <f t="shared" si="0"/>
        <v>756</v>
      </c>
      <c r="E20" s="17">
        <f t="shared" si="0"/>
        <v>53</v>
      </c>
      <c r="F20" s="17">
        <f t="shared" si="0"/>
        <v>110</v>
      </c>
      <c r="G20" s="18">
        <f t="shared" si="0"/>
        <v>3736116.48</v>
      </c>
      <c r="H20" s="18">
        <f t="shared" si="0"/>
        <v>459397.49</v>
      </c>
      <c r="I20" s="18">
        <f t="shared" si="0"/>
        <v>1437311.94</v>
      </c>
      <c r="J20" s="18">
        <f t="shared" si="0"/>
        <v>1450353.8099999998</v>
      </c>
      <c r="K20" s="18">
        <f t="shared" si="0"/>
        <v>164019.04</v>
      </c>
      <c r="L20" s="18">
        <f t="shared" si="0"/>
        <v>283021.82</v>
      </c>
      <c r="M20" s="18">
        <f t="shared" si="0"/>
        <v>5337447.46</v>
      </c>
      <c r="N20" s="18">
        <f t="shared" si="0"/>
        <v>2192773.1200000001</v>
      </c>
      <c r="O20" s="30">
        <f t="shared" si="0"/>
        <v>-3144674.34</v>
      </c>
      <c r="U20" s="13" t="s">
        <v>39</v>
      </c>
    </row>
    <row r="21" spans="1:21" x14ac:dyDescent="0.25">
      <c r="U21" s="13" t="s">
        <v>40</v>
      </c>
    </row>
    <row r="22" spans="1:21" x14ac:dyDescent="0.25">
      <c r="U22" t="s">
        <v>42</v>
      </c>
    </row>
    <row r="24" spans="1:21" x14ac:dyDescent="0.25">
      <c r="B24" t="s">
        <v>73</v>
      </c>
      <c r="C24" s="20"/>
      <c r="G24" s="20">
        <f>SUM(C20:E20)</f>
        <v>1485</v>
      </c>
      <c r="H24" s="20">
        <f>G24-J5</f>
        <v>-2425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89" orientation="landscape" copies="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1"/>
  <dimension ref="A1:O23"/>
  <sheetViews>
    <sheetView workbookViewId="0">
      <selection activeCell="J4" sqref="J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'[3]intern. diaria convenio'!$O$37</f>
        <v>3487</v>
      </c>
      <c r="H4" s="210" t="s">
        <v>65</v>
      </c>
      <c r="I4" s="181"/>
      <c r="J4" s="3">
        <f>'[6]intern. diaria convenio'!$O$82</f>
        <v>15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36" customFormat="1" ht="24.95" customHeight="1" x14ac:dyDescent="0.25">
      <c r="A7" s="211" t="s">
        <v>1</v>
      </c>
      <c r="B7" s="193"/>
      <c r="C7" s="12">
        <f>Total!B15</f>
        <v>0</v>
      </c>
      <c r="D7" s="12">
        <f>Total!C15</f>
        <v>0</v>
      </c>
      <c r="E7" s="12">
        <f>Total!D15</f>
        <v>0</v>
      </c>
      <c r="F7" s="12">
        <f>Total!E15</f>
        <v>0</v>
      </c>
      <c r="G7" s="40">
        <f>Total!F15</f>
        <v>0</v>
      </c>
      <c r="H7" s="40">
        <f>Total!G15</f>
        <v>0</v>
      </c>
      <c r="I7" s="40">
        <f>Total!H15</f>
        <v>0</v>
      </c>
      <c r="J7" s="40">
        <f>Total!I15</f>
        <v>0</v>
      </c>
      <c r="K7" s="40">
        <f>Total!J15</f>
        <v>0</v>
      </c>
      <c r="L7" s="40">
        <f>Total!K15</f>
        <v>0</v>
      </c>
      <c r="M7" s="40">
        <f>Total!L15</f>
        <v>0</v>
      </c>
      <c r="N7" s="40">
        <f>Total!M15</f>
        <v>0</v>
      </c>
      <c r="O7" s="40">
        <f>Total!N15</f>
        <v>0</v>
      </c>
    </row>
    <row r="8" spans="1:15" s="13" customFormat="1" ht="24.95" customHeight="1" x14ac:dyDescent="0.25">
      <c r="A8" s="188" t="s">
        <v>43</v>
      </c>
      <c r="B8" s="189"/>
      <c r="C8" s="12">
        <f>Total!B45</f>
        <v>0</v>
      </c>
      <c r="D8" s="12">
        <f>Total!C45</f>
        <v>0</v>
      </c>
      <c r="E8" s="12">
        <f>Total!D45</f>
        <v>0</v>
      </c>
      <c r="F8" s="42">
        <f>Total!E45</f>
        <v>0</v>
      </c>
      <c r="G8" s="41">
        <f>Total!F45</f>
        <v>1496.66</v>
      </c>
      <c r="H8" s="25">
        <f>Total!G45</f>
        <v>14120.11</v>
      </c>
      <c r="I8" s="25">
        <f>Total!H45</f>
        <v>3353.7</v>
      </c>
      <c r="J8" s="25">
        <f>Total!I45</f>
        <v>977.06</v>
      </c>
      <c r="K8" s="25">
        <f>Total!J45</f>
        <v>9614.0400000000009</v>
      </c>
      <c r="L8" s="25">
        <f>Total!K45</f>
        <v>6127.9</v>
      </c>
      <c r="M8" s="25">
        <f>Total!L45</f>
        <v>14464.400000000001</v>
      </c>
      <c r="N8" s="25">
        <f>Total!M45</f>
        <v>21225.07</v>
      </c>
      <c r="O8" s="25">
        <f>Total!N45</f>
        <v>6760.6699999999983</v>
      </c>
    </row>
    <row r="9" spans="1:15" s="13" customFormat="1" ht="24.95" customHeight="1" x14ac:dyDescent="0.25">
      <c r="A9" s="188" t="s">
        <v>44</v>
      </c>
      <c r="B9" s="189"/>
      <c r="C9" s="12">
        <f>Total!B76</f>
        <v>0</v>
      </c>
      <c r="D9" s="12">
        <f>Total!C76</f>
        <v>0</v>
      </c>
      <c r="E9" s="12">
        <f>Total!D76</f>
        <v>0</v>
      </c>
      <c r="F9" s="42">
        <f>Total!E76</f>
        <v>0</v>
      </c>
      <c r="G9" s="41">
        <f>Total!F76</f>
        <v>602.24</v>
      </c>
      <c r="H9" s="25">
        <f>Total!G76</f>
        <v>4609.17</v>
      </c>
      <c r="I9" s="25">
        <f>Total!H76</f>
        <v>1132.4000000000001</v>
      </c>
      <c r="J9" s="25">
        <f>Total!I76</f>
        <v>457.25</v>
      </c>
      <c r="K9" s="25">
        <f>Total!J76</f>
        <v>4722.22</v>
      </c>
      <c r="L9" s="25">
        <f>Total!K76</f>
        <v>1498.18</v>
      </c>
      <c r="M9" s="25">
        <f>Total!L76</f>
        <v>6456.8600000000006</v>
      </c>
      <c r="N9" s="25">
        <f>Total!M76</f>
        <v>6564.6</v>
      </c>
      <c r="O9" s="25">
        <f>Total!N76</f>
        <v>107.73999999999978</v>
      </c>
    </row>
    <row r="10" spans="1:15" s="13" customFormat="1" ht="24.95" customHeight="1" x14ac:dyDescent="0.25">
      <c r="A10" s="188" t="s">
        <v>45</v>
      </c>
      <c r="B10" s="189"/>
      <c r="C10" s="12">
        <f>Total!B107</f>
        <v>0</v>
      </c>
      <c r="D10" s="12">
        <f>Total!C107</f>
        <v>0</v>
      </c>
      <c r="E10" s="12">
        <f>Total!D107</f>
        <v>0</v>
      </c>
      <c r="F10" s="42">
        <f>Total!E107</f>
        <v>0</v>
      </c>
      <c r="G10" s="40">
        <f>Total!F107</f>
        <v>449.12</v>
      </c>
      <c r="H10" s="40">
        <f>Total!G107</f>
        <v>4849.8900000000003</v>
      </c>
      <c r="I10" s="40">
        <f>Total!H107</f>
        <v>1117.9000000000001</v>
      </c>
      <c r="J10" s="40">
        <f>Total!I107</f>
        <v>283.27999999999997</v>
      </c>
      <c r="K10" s="40">
        <f>Total!J107</f>
        <v>2833.34</v>
      </c>
      <c r="L10" s="40">
        <f>Total!K107</f>
        <v>1585.81</v>
      </c>
      <c r="M10" s="37">
        <f>Total!L107</f>
        <v>4400.3600000000006</v>
      </c>
      <c r="N10" s="37">
        <f>Total!M107</f>
        <v>6718.98</v>
      </c>
      <c r="O10" s="37">
        <f>Total!N107</f>
        <v>2318.619999999999</v>
      </c>
    </row>
    <row r="11" spans="1:15" s="13" customFormat="1" ht="24.95" customHeight="1" x14ac:dyDescent="0.25">
      <c r="A11" s="188" t="s">
        <v>46</v>
      </c>
      <c r="B11" s="189"/>
      <c r="C11" s="12">
        <f>Total!B138</f>
        <v>0</v>
      </c>
      <c r="D11" s="12">
        <f>Total!C138</f>
        <v>0</v>
      </c>
      <c r="E11" s="12">
        <f>Total!D138</f>
        <v>0</v>
      </c>
      <c r="F11" s="42">
        <f>Total!E138</f>
        <v>0</v>
      </c>
      <c r="G11" s="40">
        <f>Total!F138</f>
        <v>14916.75</v>
      </c>
      <c r="H11" s="40">
        <f>Total!G138</f>
        <v>100947.82</v>
      </c>
      <c r="I11" s="40">
        <f>Total!H138</f>
        <v>34488.620000000003</v>
      </c>
      <c r="J11" s="40">
        <f>Total!I138</f>
        <v>29561.09</v>
      </c>
      <c r="K11" s="40">
        <f>Total!J138</f>
        <v>27888.35</v>
      </c>
      <c r="L11" s="40">
        <f>Total!K138</f>
        <v>9705.7900000000009</v>
      </c>
      <c r="M11" s="37">
        <f>Total!L138</f>
        <v>77293.72</v>
      </c>
      <c r="N11" s="37">
        <f>Total!M138</f>
        <v>140214.70000000001</v>
      </c>
      <c r="O11" s="37">
        <f>Total!N138</f>
        <v>62920.98000000001</v>
      </c>
    </row>
    <row r="12" spans="1:15" s="13" customFormat="1" ht="24.95" customHeight="1" x14ac:dyDescent="0.25">
      <c r="A12" s="188" t="s">
        <v>47</v>
      </c>
      <c r="B12" s="189"/>
      <c r="C12" s="12">
        <f>Total!B169</f>
        <v>0</v>
      </c>
      <c r="D12" s="12">
        <f>Total!C169</f>
        <v>0</v>
      </c>
      <c r="E12" s="12">
        <f>Total!D169</f>
        <v>0</v>
      </c>
      <c r="F12" s="42">
        <f>Total!E169</f>
        <v>0</v>
      </c>
      <c r="G12" s="40">
        <f>Total!F169</f>
        <v>31713.16</v>
      </c>
      <c r="H12" s="40">
        <f>Total!G169</f>
        <v>64747.06</v>
      </c>
      <c r="I12" s="40">
        <f>Total!H169</f>
        <v>20095.54</v>
      </c>
      <c r="J12" s="40">
        <f>Total!I169</f>
        <v>11698.04</v>
      </c>
      <c r="K12" s="40">
        <f>Total!J169</f>
        <v>5924.91</v>
      </c>
      <c r="L12" s="40">
        <f>Total!K169</f>
        <v>4763.3599999999997</v>
      </c>
      <c r="M12" s="37">
        <f>Total!L169</f>
        <v>57733.61</v>
      </c>
      <c r="N12" s="37">
        <f>Total!M169</f>
        <v>81208.460000000006</v>
      </c>
      <c r="O12" s="37">
        <f>Total!N169</f>
        <v>23474.850000000006</v>
      </c>
    </row>
    <row r="13" spans="1:15" s="13" customFormat="1" ht="24.95" customHeight="1" x14ac:dyDescent="0.25">
      <c r="A13" s="188" t="s">
        <v>48</v>
      </c>
      <c r="B13" s="189"/>
      <c r="C13" s="12">
        <f>Total!B200</f>
        <v>0</v>
      </c>
      <c r="D13" s="12">
        <f>Total!C200</f>
        <v>3</v>
      </c>
      <c r="E13" s="12">
        <f>Total!D200</f>
        <v>0</v>
      </c>
      <c r="F13" s="42">
        <f>Total!E200</f>
        <v>4</v>
      </c>
      <c r="G13" s="40">
        <f>Total!F200</f>
        <v>0</v>
      </c>
      <c r="H13" s="40">
        <f>Total!G200</f>
        <v>0</v>
      </c>
      <c r="I13" s="40">
        <f>Total!H200</f>
        <v>0</v>
      </c>
      <c r="J13" s="40">
        <f>Total!I200</f>
        <v>0</v>
      </c>
      <c r="K13" s="40">
        <f>Total!J200</f>
        <v>0</v>
      </c>
      <c r="L13" s="40">
        <f>Total!K200</f>
        <v>0</v>
      </c>
      <c r="M13" s="37">
        <f>Total!L200</f>
        <v>0</v>
      </c>
      <c r="N13" s="37">
        <f>Total!M200</f>
        <v>0</v>
      </c>
      <c r="O13" s="37">
        <f>Total!N200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Total!B231</f>
        <v>0</v>
      </c>
      <c r="D14" s="12">
        <f>Total!C231</f>
        <v>47</v>
      </c>
      <c r="E14" s="12">
        <f>Total!D231</f>
        <v>0</v>
      </c>
      <c r="F14" s="42">
        <f>Total!E231</f>
        <v>0</v>
      </c>
      <c r="G14" s="25">
        <f>Total!F231</f>
        <v>0</v>
      </c>
      <c r="H14" s="25">
        <f>Total!G231</f>
        <v>0</v>
      </c>
      <c r="I14" s="25">
        <f>Total!H231</f>
        <v>0</v>
      </c>
      <c r="J14" s="25">
        <f>Total!I231</f>
        <v>0</v>
      </c>
      <c r="K14" s="25">
        <f>Total!J231</f>
        <v>0</v>
      </c>
      <c r="L14" s="25">
        <f>Total!K231</f>
        <v>0</v>
      </c>
      <c r="M14" s="25">
        <f>Total!L231</f>
        <v>0</v>
      </c>
      <c r="N14" s="25">
        <f>Total!M231</f>
        <v>0</v>
      </c>
      <c r="O14" s="25">
        <f>Total!N231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Total!B262</f>
        <v>0</v>
      </c>
      <c r="D15" s="12">
        <f>Total!C262</f>
        <v>7</v>
      </c>
      <c r="E15" s="12">
        <f>Total!D262</f>
        <v>0</v>
      </c>
      <c r="F15" s="12">
        <f>Total!E262</f>
        <v>0</v>
      </c>
      <c r="G15" s="25">
        <f>Total!F262</f>
        <v>0</v>
      </c>
      <c r="H15" s="25">
        <f>Total!G262</f>
        <v>0</v>
      </c>
      <c r="I15" s="25">
        <f>Total!H262</f>
        <v>0</v>
      </c>
      <c r="J15" s="25">
        <f>Total!I262</f>
        <v>0</v>
      </c>
      <c r="K15" s="25">
        <f>Total!J262</f>
        <v>0</v>
      </c>
      <c r="L15" s="25">
        <f>Total!K262</f>
        <v>0</v>
      </c>
      <c r="M15" s="25">
        <f>Total!L262</f>
        <v>0</v>
      </c>
      <c r="N15" s="25">
        <f>Total!M262</f>
        <v>0</v>
      </c>
      <c r="O15" s="25">
        <f>Total!N262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Total!B293</f>
        <v>0</v>
      </c>
      <c r="D16" s="12">
        <f>Total!C293</f>
        <v>3</v>
      </c>
      <c r="E16" s="12">
        <f>Total!D293</f>
        <v>0</v>
      </c>
      <c r="F16" s="12">
        <f>Total!E293</f>
        <v>0</v>
      </c>
      <c r="G16" s="25">
        <f>Total!F293</f>
        <v>0</v>
      </c>
      <c r="H16" s="25">
        <f>Total!G293</f>
        <v>0</v>
      </c>
      <c r="I16" s="25">
        <f>Total!H293</f>
        <v>0</v>
      </c>
      <c r="J16" s="25">
        <f>Total!I293</f>
        <v>0</v>
      </c>
      <c r="K16" s="25">
        <f>Total!J293</f>
        <v>0</v>
      </c>
      <c r="L16" s="25">
        <f>Total!K293</f>
        <v>0</v>
      </c>
      <c r="M16" s="25">
        <f>Total!L293</f>
        <v>0</v>
      </c>
      <c r="N16" s="25">
        <f>Total!M293</f>
        <v>0</v>
      </c>
      <c r="O16" s="25">
        <f>Total!N293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Total!B324</f>
        <v>0</v>
      </c>
      <c r="D17" s="12">
        <f>Total!C324</f>
        <v>3</v>
      </c>
      <c r="E17" s="12">
        <f>Total!D324</f>
        <v>0</v>
      </c>
      <c r="F17" s="12">
        <f>Total!E324</f>
        <v>0</v>
      </c>
      <c r="G17" s="25">
        <f>Total!F324</f>
        <v>0</v>
      </c>
      <c r="H17" s="25">
        <f>Total!G324</f>
        <v>0</v>
      </c>
      <c r="I17" s="25">
        <f>Total!H324</f>
        <v>0</v>
      </c>
      <c r="J17" s="25">
        <f>Total!I324</f>
        <v>0</v>
      </c>
      <c r="K17" s="25">
        <f>Total!J324</f>
        <v>0</v>
      </c>
      <c r="L17" s="25">
        <f>Total!K324</f>
        <v>0</v>
      </c>
      <c r="M17" s="25">
        <f>Total!L324</f>
        <v>0</v>
      </c>
      <c r="N17" s="25">
        <f>Total!M324</f>
        <v>0</v>
      </c>
      <c r="O17" s="25">
        <f>Total!N324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Total!B355</f>
        <v>0</v>
      </c>
      <c r="D18" s="12">
        <f>Total!C355</f>
        <v>0</v>
      </c>
      <c r="E18" s="12">
        <f>Total!D355</f>
        <v>0</v>
      </c>
      <c r="F18" s="12">
        <f>Total!E355</f>
        <v>0</v>
      </c>
      <c r="G18" s="25">
        <f>Total!F355</f>
        <v>0</v>
      </c>
      <c r="H18" s="25">
        <f>Total!G355</f>
        <v>0</v>
      </c>
      <c r="I18" s="25">
        <f>Total!H355</f>
        <v>0</v>
      </c>
      <c r="J18" s="25">
        <f>Total!I355</f>
        <v>0</v>
      </c>
      <c r="K18" s="25">
        <f>Total!J355</f>
        <v>0</v>
      </c>
      <c r="L18" s="25">
        <f>Total!K355</f>
        <v>0</v>
      </c>
      <c r="M18" s="25">
        <f>Total!L355</f>
        <v>0</v>
      </c>
      <c r="N18" s="25">
        <f>Total!M355</f>
        <v>0</v>
      </c>
      <c r="O18" s="25">
        <f>Total!N355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0</v>
      </c>
      <c r="D19" s="17">
        <f t="shared" si="0"/>
        <v>63</v>
      </c>
      <c r="E19" s="17">
        <f t="shared" si="0"/>
        <v>0</v>
      </c>
      <c r="F19" s="17">
        <f t="shared" si="0"/>
        <v>4</v>
      </c>
      <c r="G19" s="18">
        <f t="shared" si="0"/>
        <v>49177.93</v>
      </c>
      <c r="H19" s="18">
        <f t="shared" si="0"/>
        <v>189274.05</v>
      </c>
      <c r="I19" s="18">
        <f t="shared" si="0"/>
        <v>60188.160000000003</v>
      </c>
      <c r="J19" s="18">
        <f t="shared" si="0"/>
        <v>42976.72</v>
      </c>
      <c r="K19" s="18">
        <f t="shared" si="0"/>
        <v>50982.86</v>
      </c>
      <c r="L19" s="18">
        <f t="shared" si="0"/>
        <v>23681.040000000001</v>
      </c>
      <c r="M19" s="18">
        <f t="shared" si="0"/>
        <v>160348.95000000001</v>
      </c>
      <c r="N19" s="18">
        <f t="shared" si="0"/>
        <v>255931.81</v>
      </c>
      <c r="O19" s="30">
        <f t="shared" si="0"/>
        <v>95582.860000000015</v>
      </c>
    </row>
    <row r="23" spans="1:15" x14ac:dyDescent="0.25">
      <c r="B23" t="s">
        <v>73</v>
      </c>
      <c r="C23" s="20"/>
      <c r="G23" s="20">
        <f>SUM(C19:E19)</f>
        <v>63</v>
      </c>
      <c r="H23" s="20">
        <f>G23-J4</f>
        <v>48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98425196850393704" right="0.23" top="0.98425196850393704" bottom="0.98425196850393704" header="0.51181102362204722" footer="0.51181102362204722"/>
  <pageSetup paperSize="9" scale="85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">
    <pageSetUpPr fitToPage="1"/>
  </sheetPr>
  <dimension ref="A1:O20"/>
  <sheetViews>
    <sheetView workbookViewId="0">
      <selection activeCell="L21" sqref="L21"/>
    </sheetView>
  </sheetViews>
  <sheetFormatPr defaultRowHeight="15" x14ac:dyDescent="0.25"/>
  <cols>
    <col min="1" max="1" width="12.42578125" bestFit="1" customWidth="1"/>
    <col min="3" max="3" width="10.140625" customWidth="1"/>
    <col min="4" max="4" width="8.5703125" bestFit="1" customWidth="1"/>
    <col min="5" max="5" width="5.140625" bestFit="1" customWidth="1"/>
    <col min="6" max="6" width="6.42578125" bestFit="1" customWidth="1"/>
    <col min="7" max="7" width="11.28515625" bestFit="1" customWidth="1"/>
    <col min="8" max="8" width="10.7109375" bestFit="1" customWidth="1"/>
    <col min="9" max="9" width="11.28515625" bestFit="1" customWidth="1"/>
    <col min="10" max="10" width="10.7109375" bestFit="1" customWidth="1"/>
    <col min="11" max="11" width="11.5703125" bestFit="1" customWidth="1"/>
    <col min="12" max="12" width="10.7109375" bestFit="1" customWidth="1"/>
    <col min="13" max="13" width="11.5703125" bestFit="1" customWidth="1"/>
    <col min="14" max="14" width="12.85546875" bestFit="1" customWidth="1"/>
    <col min="15" max="15" width="12.28515625" bestFit="1" customWidth="1"/>
  </cols>
  <sheetData>
    <row r="1" spans="1:15" ht="15.75" customHeight="1" x14ac:dyDescent="0.25">
      <c r="A1" s="198" t="s">
        <v>74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Acordo!G5</f>
        <v>458</v>
      </c>
      <c r="H5" s="191" t="s">
        <v>65</v>
      </c>
      <c r="I5" s="173"/>
      <c r="J5" s="61">
        <f>Acordo!J5</f>
        <v>785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ht="16.5" customHeight="1" x14ac:dyDescent="0.25">
      <c r="A8" s="192" t="s">
        <v>1</v>
      </c>
      <c r="B8" s="193"/>
      <c r="C8" s="12">
        <f>Acordo!C8</f>
        <v>0</v>
      </c>
      <c r="D8" s="12">
        <f>Acordo!D8</f>
        <v>0</v>
      </c>
      <c r="E8" s="12">
        <f>Acordo!E8</f>
        <v>0</v>
      </c>
      <c r="F8" s="12">
        <f>Acordo!F8</f>
        <v>0</v>
      </c>
      <c r="G8" s="14">
        <f>Acordo!G8+[7]ACORDO!C8</f>
        <v>12703.89</v>
      </c>
      <c r="H8" s="15">
        <v>0</v>
      </c>
      <c r="I8" s="14">
        <f>Acordo!I8</f>
        <v>13973.75</v>
      </c>
      <c r="J8" s="16">
        <v>0</v>
      </c>
      <c r="K8" s="14">
        <f>Acordo!K8+[7]ACORDO!E8</f>
        <v>55155.070000000007</v>
      </c>
      <c r="L8" s="16">
        <v>0</v>
      </c>
      <c r="M8" s="27">
        <f t="shared" ref="M8:M19" si="0">G8+I8+K8</f>
        <v>81832.710000000006</v>
      </c>
      <c r="N8" s="27">
        <f>Acordo!N8+[7]ACORDO!$H$8</f>
        <v>91682.5</v>
      </c>
      <c r="O8" s="52">
        <f t="shared" ref="O8:O19" si="1">N8-M8</f>
        <v>9849.7899999999936</v>
      </c>
    </row>
    <row r="9" spans="1:15" ht="16.5" customHeight="1" x14ac:dyDescent="0.25">
      <c r="A9" s="188" t="s">
        <v>43</v>
      </c>
      <c r="B9" s="189"/>
      <c r="C9" s="12">
        <f>Acordo!C9</f>
        <v>0</v>
      </c>
      <c r="D9" s="12">
        <f>Acordo!D9</f>
        <v>0</v>
      </c>
      <c r="E9" s="12">
        <f>Acordo!E9</f>
        <v>0</v>
      </c>
      <c r="F9" s="12">
        <f>Acordo!F9</f>
        <v>0</v>
      </c>
      <c r="G9" s="14">
        <f>Acordo!G9+[7]ACORDO!C9</f>
        <v>20589.469999999998</v>
      </c>
      <c r="H9" s="15">
        <v>0</v>
      </c>
      <c r="I9" s="14">
        <f>Acordo!I9</f>
        <v>32394.31</v>
      </c>
      <c r="J9" s="16">
        <v>0</v>
      </c>
      <c r="K9" s="14">
        <f>Acordo!K9+[7]ACORDO!E9</f>
        <v>92701.790000000008</v>
      </c>
      <c r="L9" s="16">
        <v>0</v>
      </c>
      <c r="M9" s="27">
        <f t="shared" si="0"/>
        <v>145685.57</v>
      </c>
      <c r="N9" s="27">
        <f>Acordo!N9+[7]ACORDO!$H$8</f>
        <v>191772.5</v>
      </c>
      <c r="O9" s="52">
        <f t="shared" si="1"/>
        <v>46086.929999999993</v>
      </c>
    </row>
    <row r="10" spans="1:15" ht="16.5" customHeight="1" x14ac:dyDescent="0.25">
      <c r="A10" s="188" t="s">
        <v>44</v>
      </c>
      <c r="B10" s="189"/>
      <c r="C10" s="12">
        <f>Acordo!C10</f>
        <v>0</v>
      </c>
      <c r="D10" s="12">
        <f>Acordo!D10</f>
        <v>0</v>
      </c>
      <c r="E10" s="12">
        <f>Acordo!E10</f>
        <v>0</v>
      </c>
      <c r="F10" s="12">
        <f>Acordo!F10</f>
        <v>0</v>
      </c>
      <c r="G10" s="14">
        <f>Acordo!G10+[7]ACORDO!C10</f>
        <v>22748.09</v>
      </c>
      <c r="H10" s="15">
        <v>0</v>
      </c>
      <c r="I10" s="14">
        <f>Acordo!I10</f>
        <v>35189.06</v>
      </c>
      <c r="J10" s="16">
        <v>0</v>
      </c>
      <c r="K10" s="14">
        <f>Acordo!K10+[7]ACORDO!E10</f>
        <v>93819.25</v>
      </c>
      <c r="L10" s="16">
        <v>0</v>
      </c>
      <c r="M10" s="27">
        <f t="shared" si="0"/>
        <v>151756.4</v>
      </c>
      <c r="N10" s="27">
        <f>Acordo!N10+[7]ACORDO!$H$8</f>
        <v>168710</v>
      </c>
      <c r="O10" s="52">
        <f t="shared" si="1"/>
        <v>16953.600000000006</v>
      </c>
    </row>
    <row r="11" spans="1:15" ht="16.5" customHeight="1" x14ac:dyDescent="0.25">
      <c r="A11" s="188" t="s">
        <v>45</v>
      </c>
      <c r="B11" s="189"/>
      <c r="C11" s="12">
        <f>Acordo!C11</f>
        <v>0</v>
      </c>
      <c r="D11" s="12">
        <f>Acordo!D11</f>
        <v>0</v>
      </c>
      <c r="E11" s="12">
        <f>Acordo!E11</f>
        <v>0</v>
      </c>
      <c r="F11" s="12">
        <f>Acordo!F11</f>
        <v>0</v>
      </c>
      <c r="G11" s="14">
        <f>Acordo!G11+[7]ACORDO!C11</f>
        <v>32288.539999999997</v>
      </c>
      <c r="H11" s="15">
        <v>0</v>
      </c>
      <c r="I11" s="14">
        <f>Acordo!I11</f>
        <v>32127.23</v>
      </c>
      <c r="J11" s="16">
        <v>0</v>
      </c>
      <c r="K11" s="14">
        <f>Acordo!K11+[7]ACORDO!E11</f>
        <v>90703.430000000008</v>
      </c>
      <c r="L11" s="16">
        <v>0</v>
      </c>
      <c r="M11" s="27">
        <f t="shared" si="0"/>
        <v>155119.20000000001</v>
      </c>
      <c r="N11" s="27">
        <f>Acordo!N11+[7]ACORDO!$H$8</f>
        <v>196378</v>
      </c>
      <c r="O11" s="52">
        <f t="shared" si="1"/>
        <v>41258.799999999988</v>
      </c>
    </row>
    <row r="12" spans="1:15" ht="16.5" customHeight="1" x14ac:dyDescent="0.25">
      <c r="A12" s="188" t="s">
        <v>46</v>
      </c>
      <c r="B12" s="189"/>
      <c r="C12" s="12">
        <f>Acordo!C12</f>
        <v>0</v>
      </c>
      <c r="D12" s="12">
        <f>Acordo!D12</f>
        <v>0</v>
      </c>
      <c r="E12" s="12">
        <f>Acordo!E12</f>
        <v>0</v>
      </c>
      <c r="F12" s="12">
        <f>Acordo!F12</f>
        <v>0</v>
      </c>
      <c r="G12" s="14">
        <f>Acordo!G12+[7]ACORDO!C12</f>
        <v>23011.489999999998</v>
      </c>
      <c r="H12" s="15">
        <v>0</v>
      </c>
      <c r="I12" s="14">
        <f>Acordo!I12</f>
        <v>59149.54</v>
      </c>
      <c r="J12" s="16">
        <v>0</v>
      </c>
      <c r="K12" s="14">
        <f>Acordo!K12+[7]ACORDO!E12</f>
        <v>104629.31</v>
      </c>
      <c r="L12" s="16">
        <v>0</v>
      </c>
      <c r="M12" s="27">
        <f t="shared" si="0"/>
        <v>186790.34</v>
      </c>
      <c r="N12" s="27">
        <f>Acordo!N12+[7]ACORDO!$H$8</f>
        <v>267750.90000000002</v>
      </c>
      <c r="O12" s="52">
        <f t="shared" si="1"/>
        <v>80960.560000000027</v>
      </c>
    </row>
    <row r="13" spans="1:15" ht="16.5" customHeight="1" x14ac:dyDescent="0.25">
      <c r="A13" s="188" t="s">
        <v>47</v>
      </c>
      <c r="B13" s="189"/>
      <c r="C13" s="12">
        <f>Acordo!C13</f>
        <v>0</v>
      </c>
      <c r="D13" s="12">
        <f>Acordo!D13</f>
        <v>0</v>
      </c>
      <c r="E13" s="12">
        <f>Acordo!E13</f>
        <v>0</v>
      </c>
      <c r="F13" s="12">
        <f>Acordo!F13</f>
        <v>0</v>
      </c>
      <c r="G13" s="14">
        <f>Acordo!G13+[7]ACORDO!C13</f>
        <v>15690.6</v>
      </c>
      <c r="H13" s="15">
        <v>0</v>
      </c>
      <c r="I13" s="14">
        <f>Acordo!I13</f>
        <v>30875.79</v>
      </c>
      <c r="J13" s="16">
        <v>0</v>
      </c>
      <c r="K13" s="14">
        <f>Acordo!K13+[7]ACORDO!E13</f>
        <v>75216.33</v>
      </c>
      <c r="L13" s="16">
        <v>0</v>
      </c>
      <c r="M13" s="27">
        <f t="shared" si="0"/>
        <v>121782.72</v>
      </c>
      <c r="N13" s="27">
        <f>Acordo!N13+[7]ACORDO!$H$8</f>
        <v>140580.31</v>
      </c>
      <c r="O13" s="52">
        <f t="shared" si="1"/>
        <v>18797.589999999997</v>
      </c>
    </row>
    <row r="14" spans="1:15" ht="16.5" customHeight="1" x14ac:dyDescent="0.25">
      <c r="A14" s="188" t="s">
        <v>48</v>
      </c>
      <c r="B14" s="189"/>
      <c r="C14" s="12">
        <f>Acordo!C14</f>
        <v>7</v>
      </c>
      <c r="D14" s="12">
        <f>Acordo!D14</f>
        <v>81</v>
      </c>
      <c r="E14" s="12">
        <f>Acordo!E14</f>
        <v>3</v>
      </c>
      <c r="F14" s="12">
        <f>Acordo!F14</f>
        <v>6</v>
      </c>
      <c r="G14" s="14">
        <f>Acordo!G14+[7]ACORDO!C14</f>
        <v>1241.3</v>
      </c>
      <c r="H14" s="15">
        <v>0</v>
      </c>
      <c r="I14" s="14">
        <f>Acordo!I14</f>
        <v>0</v>
      </c>
      <c r="J14" s="16">
        <v>0</v>
      </c>
      <c r="K14" s="65">
        <f>Acordo!K14+[7]ACORDO!E14</f>
        <v>9555.75</v>
      </c>
      <c r="L14" s="16">
        <v>0</v>
      </c>
      <c r="M14" s="66">
        <f t="shared" si="0"/>
        <v>10797.05</v>
      </c>
      <c r="N14" s="27">
        <f>Acordo!N14+[7]ACORDO!$H$8</f>
        <v>269670.25</v>
      </c>
      <c r="O14" s="52">
        <f t="shared" si="1"/>
        <v>258873.2</v>
      </c>
    </row>
    <row r="15" spans="1:15" ht="16.5" customHeight="1" x14ac:dyDescent="0.25">
      <c r="A15" s="188" t="s">
        <v>49</v>
      </c>
      <c r="B15" s="189"/>
      <c r="C15" s="12">
        <f>Acordo!C15</f>
        <v>0</v>
      </c>
      <c r="D15" s="12">
        <f>Acordo!D15</f>
        <v>48</v>
      </c>
      <c r="E15" s="12">
        <f>Acordo!E15</f>
        <v>0</v>
      </c>
      <c r="F15" s="12">
        <f>Acordo!F15</f>
        <v>2</v>
      </c>
      <c r="G15" s="14">
        <f>Acordo!G15+[7]ACORDO!C15</f>
        <v>1977.43</v>
      </c>
      <c r="H15" s="15">
        <v>0</v>
      </c>
      <c r="I15" s="14">
        <f>Acordo!I15</f>
        <v>0</v>
      </c>
      <c r="J15" s="16">
        <v>0</v>
      </c>
      <c r="K15" s="14">
        <f>Acordo!K15+[7]ACORDO!E15</f>
        <v>18561.61</v>
      </c>
      <c r="L15" s="16">
        <v>0</v>
      </c>
      <c r="M15" s="27">
        <f t="shared" si="0"/>
        <v>20539.04</v>
      </c>
      <c r="N15" s="27">
        <f>Acordo!N15+[7]ACORDO!$H$8</f>
        <v>167958.62</v>
      </c>
      <c r="O15" s="52">
        <f t="shared" si="1"/>
        <v>147419.57999999999</v>
      </c>
    </row>
    <row r="16" spans="1:15" ht="16.5" customHeight="1" x14ac:dyDescent="0.25">
      <c r="A16" s="188" t="s">
        <v>50</v>
      </c>
      <c r="B16" s="189"/>
      <c r="C16" s="12">
        <f>Acordo!C16</f>
        <v>0</v>
      </c>
      <c r="D16" s="12">
        <f>Acordo!D16</f>
        <v>50</v>
      </c>
      <c r="E16" s="12">
        <f>Acordo!E16</f>
        <v>0</v>
      </c>
      <c r="F16" s="12">
        <f>Acordo!F16</f>
        <v>2</v>
      </c>
      <c r="G16" s="14">
        <f>Acordo!G16+[7]ACORDO!C16</f>
        <v>3985</v>
      </c>
      <c r="H16" s="15">
        <v>0</v>
      </c>
      <c r="I16" s="14">
        <f>Acordo!I16</f>
        <v>0</v>
      </c>
      <c r="J16" s="16">
        <v>0</v>
      </c>
      <c r="K16" s="14">
        <f>Acordo!K16+[7]ACORDO!E16</f>
        <v>35152.629999999997</v>
      </c>
      <c r="L16" s="16">
        <v>0</v>
      </c>
      <c r="M16" s="27">
        <f t="shared" si="0"/>
        <v>39137.629999999997</v>
      </c>
      <c r="N16" s="27">
        <f>Acordo!N16+[7]ACORDO!$H$8</f>
        <v>150373.52000000002</v>
      </c>
      <c r="O16" s="52">
        <f t="shared" si="1"/>
        <v>111235.89000000001</v>
      </c>
    </row>
    <row r="17" spans="1:15" ht="16.5" customHeight="1" x14ac:dyDescent="0.25">
      <c r="A17" s="188" t="s">
        <v>51</v>
      </c>
      <c r="B17" s="189"/>
      <c r="C17" s="12">
        <f>Acordo!C17</f>
        <v>0</v>
      </c>
      <c r="D17" s="12">
        <f>Acordo!D17</f>
        <v>52</v>
      </c>
      <c r="E17" s="12">
        <f>Acordo!E17</f>
        <v>1</v>
      </c>
      <c r="F17" s="12">
        <f>Acordo!F17</f>
        <v>0</v>
      </c>
      <c r="G17" s="14">
        <f>Acordo!G17+[7]ACORDO!C17</f>
        <v>5222.97</v>
      </c>
      <c r="H17" s="15">
        <v>0</v>
      </c>
      <c r="I17" s="14">
        <f>Acordo!I17</f>
        <v>0</v>
      </c>
      <c r="J17" s="16">
        <v>0</v>
      </c>
      <c r="K17" s="14">
        <f>Acordo!K17+[7]ACORDO!E17</f>
        <v>44402.46</v>
      </c>
      <c r="L17" s="16">
        <v>0</v>
      </c>
      <c r="M17" s="27">
        <f t="shared" si="0"/>
        <v>49625.43</v>
      </c>
      <c r="N17" s="27">
        <f>Acordo!N17+[7]ACORDO!$H$8</f>
        <v>161512.93</v>
      </c>
      <c r="O17" s="52">
        <f t="shared" si="1"/>
        <v>111887.5</v>
      </c>
    </row>
    <row r="18" spans="1:15" ht="16.5" customHeight="1" x14ac:dyDescent="0.25">
      <c r="A18" s="188" t="s">
        <v>53</v>
      </c>
      <c r="B18" s="189"/>
      <c r="C18" s="12">
        <f>Acordo!C18</f>
        <v>0</v>
      </c>
      <c r="D18" s="12">
        <f>Acordo!D18</f>
        <v>59</v>
      </c>
      <c r="E18" s="12">
        <f>Acordo!E18</f>
        <v>0</v>
      </c>
      <c r="F18" s="12">
        <f>Acordo!F18</f>
        <v>1</v>
      </c>
      <c r="G18" s="14">
        <f>Acordo!G18+[7]ACORDO!C18</f>
        <v>4544.26</v>
      </c>
      <c r="H18" s="15">
        <v>0</v>
      </c>
      <c r="I18" s="14">
        <f>Acordo!I18</f>
        <v>0</v>
      </c>
      <c r="J18" s="16">
        <v>0</v>
      </c>
      <c r="K18" s="14">
        <f>Acordo!K18+[7]ACORDO!E18</f>
        <v>40311.89</v>
      </c>
      <c r="L18" s="16">
        <v>0</v>
      </c>
      <c r="M18" s="27">
        <f t="shared" si="0"/>
        <v>44856.15</v>
      </c>
      <c r="N18" s="27">
        <f>Acordo!N18+[7]ACORDO!$H$8</f>
        <v>154519</v>
      </c>
      <c r="O18" s="52">
        <f t="shared" si="1"/>
        <v>109662.85</v>
      </c>
    </row>
    <row r="19" spans="1:15" ht="17.25" customHeight="1" thickBot="1" x14ac:dyDescent="0.3">
      <c r="A19" s="188" t="s">
        <v>54</v>
      </c>
      <c r="B19" s="189"/>
      <c r="C19" s="12">
        <f>Acordo!C19</f>
        <v>0</v>
      </c>
      <c r="D19" s="12">
        <f>Acordo!D19</f>
        <v>0</v>
      </c>
      <c r="E19" s="12">
        <f>Acordo!E19</f>
        <v>0</v>
      </c>
      <c r="F19" s="12">
        <f>Acordo!F19</f>
        <v>0</v>
      </c>
      <c r="G19" s="14">
        <f>Acordo!G19+[7]ACORDO!C19</f>
        <v>3676.72</v>
      </c>
      <c r="H19" s="15">
        <v>0</v>
      </c>
      <c r="I19" s="14">
        <f>Acordo!I19</f>
        <v>0</v>
      </c>
      <c r="J19" s="16">
        <v>0</v>
      </c>
      <c r="K19" s="14">
        <f>Acordo!K19+[7]ACORDO!E19</f>
        <v>26728.74</v>
      </c>
      <c r="L19" s="16">
        <v>0</v>
      </c>
      <c r="M19" s="27">
        <f t="shared" si="0"/>
        <v>30405.460000000003</v>
      </c>
      <c r="N19" s="27">
        <f>Acordo!N19+[7]ACORDO!$H$8</f>
        <v>19520</v>
      </c>
      <c r="O19" s="52">
        <f t="shared" si="1"/>
        <v>-10885.460000000003</v>
      </c>
    </row>
    <row r="20" spans="1:15" ht="20.100000000000001" customHeight="1" thickBot="1" x14ac:dyDescent="0.3">
      <c r="A20" s="195" t="s">
        <v>72</v>
      </c>
      <c r="B20" s="187"/>
      <c r="C20" s="17">
        <v>0</v>
      </c>
      <c r="D20" s="17">
        <v>0</v>
      </c>
      <c r="E20" s="17">
        <v>0</v>
      </c>
      <c r="F20" s="17">
        <v>0</v>
      </c>
      <c r="G20" s="18">
        <f>SUM(G8:G19)</f>
        <v>147679.76</v>
      </c>
      <c r="H20" s="18">
        <f>SUM(H8:H19)</f>
        <v>0</v>
      </c>
      <c r="I20" s="18">
        <f>SUM(I8:I19)</f>
        <v>203709.68</v>
      </c>
      <c r="J20" s="18">
        <f>SUM(J8:J19)</f>
        <v>0</v>
      </c>
      <c r="K20" s="18">
        <f>SUM(K8:K19)</f>
        <v>686938.26</v>
      </c>
      <c r="L20" s="18">
        <v>0</v>
      </c>
      <c r="M20" s="18">
        <v>733050.63</v>
      </c>
      <c r="N20" s="18">
        <f>SUM(N8:N19)</f>
        <v>1980428.53</v>
      </c>
      <c r="O20" s="30">
        <f>SUM(O8:O19)</f>
        <v>942100.83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ageMargins left="0.19685039370078741" right="0.19685039370078741" top="1.1499999999999999" bottom="0.78740157480314965" header="0.31496062992125978" footer="0.31496062992125978"/>
  <pageSetup paperSize="9" scale="94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5">
    <pageSetUpPr fitToPage="1"/>
  </sheetPr>
  <dimension ref="A1:O20"/>
  <sheetViews>
    <sheetView workbookViewId="0">
      <selection activeCell="N9" sqref="N9"/>
    </sheetView>
  </sheetViews>
  <sheetFormatPr defaultRowHeight="15" x14ac:dyDescent="0.25"/>
  <cols>
    <col min="3" max="6" width="8.7109375" customWidth="1"/>
    <col min="7" max="14" width="11.7109375" customWidth="1"/>
    <col min="15" max="15" width="11.7109375" style="28" customWidth="1"/>
  </cols>
  <sheetData>
    <row r="1" spans="1:15" ht="15.75" customHeight="1" x14ac:dyDescent="0.25">
      <c r="A1" s="198" t="s">
        <v>74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'[6]intern. diaria convenio'!$O$8</f>
        <v>100</v>
      </c>
      <c r="H5" s="191" t="s">
        <v>65</v>
      </c>
      <c r="I5" s="173"/>
      <c r="J5" s="61">
        <f>'[6]intern. diaria convenio'!$O$53</f>
        <v>105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ht="16.5" customHeight="1" x14ac:dyDescent="0.25">
      <c r="A8" s="192" t="s">
        <v>1</v>
      </c>
      <c r="B8" s="193"/>
      <c r="C8" s="12">
        <f>Total!B9</f>
        <v>0</v>
      </c>
      <c r="D8" s="12">
        <f>Total!C9</f>
        <v>0</v>
      </c>
      <c r="E8" s="12">
        <f>Total!D9</f>
        <v>0</v>
      </c>
      <c r="F8" s="12">
        <f>Total!E9</f>
        <v>0</v>
      </c>
      <c r="G8" s="46">
        <f>'C.M.I'!G8+[7]CMI!C8</f>
        <v>2591.63</v>
      </c>
      <c r="H8" s="15">
        <f>'C.M.I'!H8+[8]CMI!D7</f>
        <v>16234.24</v>
      </c>
      <c r="I8" s="46">
        <f>'C.M.I'!I8</f>
        <v>5030.55</v>
      </c>
      <c r="J8" s="15">
        <f>Total!I9</f>
        <v>7830</v>
      </c>
      <c r="K8" s="46">
        <f>'C.M.I'!K8+[7]CMI!G8</f>
        <v>15223.99</v>
      </c>
      <c r="L8" s="15">
        <f>Total!K9</f>
        <v>25615.68</v>
      </c>
      <c r="M8" s="27">
        <f t="shared" ref="M8:M19" si="0">G8+I8+K8</f>
        <v>22846.17</v>
      </c>
      <c r="N8" s="27" t="e">
        <f>'C.M.I'!N8+[9]CMI!H8</f>
        <v>#REF!</v>
      </c>
      <c r="O8" s="52" t="e">
        <f t="shared" ref="O8:O19" si="1">N8-M8</f>
        <v>#REF!</v>
      </c>
    </row>
    <row r="9" spans="1:15" ht="16.5" customHeight="1" x14ac:dyDescent="0.25">
      <c r="A9" s="188" t="s">
        <v>43</v>
      </c>
      <c r="B9" s="189"/>
      <c r="C9" s="12">
        <f>Total!B40</f>
        <v>0</v>
      </c>
      <c r="D9" s="12">
        <f>Total!C40</f>
        <v>0</v>
      </c>
      <c r="E9" s="12">
        <f>Total!D40</f>
        <v>0</v>
      </c>
      <c r="F9" s="12">
        <f>Total!E40</f>
        <v>0</v>
      </c>
      <c r="G9" s="47">
        <f>'C.M.I'!G9+[7]CMI!C9</f>
        <v>371.32</v>
      </c>
      <c r="H9" s="15">
        <f>'C.M.I'!H9+[8]CMI!D8</f>
        <v>2070.29</v>
      </c>
      <c r="I9" s="47">
        <f>'C.M.I'!I9</f>
        <v>558.95000000000005</v>
      </c>
      <c r="J9" s="15">
        <f>Total!I40</f>
        <v>300</v>
      </c>
      <c r="K9" s="47">
        <f>'C.M.I'!K9+[7]CMI!G9</f>
        <v>4301.5</v>
      </c>
      <c r="L9" s="15">
        <f>Total!K40</f>
        <v>3273.85</v>
      </c>
      <c r="M9" s="27">
        <f t="shared" si="0"/>
        <v>5231.7700000000004</v>
      </c>
      <c r="N9" s="27">
        <f>'C.M.I'!N9+[7]CMI!H9</f>
        <v>39355</v>
      </c>
      <c r="O9" s="52">
        <f t="shared" si="1"/>
        <v>34123.229999999996</v>
      </c>
    </row>
    <row r="10" spans="1:15" ht="16.5" customHeight="1" x14ac:dyDescent="0.25">
      <c r="A10" s="188" t="s">
        <v>44</v>
      </c>
      <c r="B10" s="189"/>
      <c r="C10" s="12">
        <f>Total!B71</f>
        <v>0</v>
      </c>
      <c r="D10" s="12">
        <f>Total!C71</f>
        <v>0</v>
      </c>
      <c r="E10" s="12">
        <f>Total!D71</f>
        <v>0</v>
      </c>
      <c r="F10" s="12">
        <f>Total!E71</f>
        <v>0</v>
      </c>
      <c r="G10" s="47">
        <f>'C.M.I'!G10+[7]CMI!C10</f>
        <v>1297.3899999999999</v>
      </c>
      <c r="H10" s="15">
        <f>'C.M.I'!H10+[8]CMI!D9</f>
        <v>7806.69</v>
      </c>
      <c r="I10" s="47">
        <f>'C.M.I'!I10</f>
        <v>2235.8000000000002</v>
      </c>
      <c r="J10" s="15">
        <f>Total!I71</f>
        <v>1800</v>
      </c>
      <c r="K10" s="47">
        <f>'C.M.I'!K10+[7]CMI!G10</f>
        <v>7302.55</v>
      </c>
      <c r="L10" s="15">
        <f>Total!K71</f>
        <v>10786.85</v>
      </c>
      <c r="M10" s="27">
        <f t="shared" si="0"/>
        <v>10835.74</v>
      </c>
      <c r="N10" s="27">
        <f>'C.M.I'!N10+[7]CMI!H10</f>
        <v>38885</v>
      </c>
      <c r="O10" s="52">
        <f t="shared" si="1"/>
        <v>28049.260000000002</v>
      </c>
    </row>
    <row r="11" spans="1:15" ht="16.5" customHeight="1" x14ac:dyDescent="0.25">
      <c r="A11" s="188" t="s">
        <v>45</v>
      </c>
      <c r="B11" s="189"/>
      <c r="C11" s="12">
        <f>Total!B102</f>
        <v>0</v>
      </c>
      <c r="D11" s="12">
        <f>Total!C102</f>
        <v>0</v>
      </c>
      <c r="E11" s="12">
        <f>Total!D102</f>
        <v>0</v>
      </c>
      <c r="F11" s="12">
        <f>Total!E102</f>
        <v>0</v>
      </c>
      <c r="G11" s="47">
        <f>'C.M.I'!G11+[7]CMI!C11</f>
        <v>1049.19</v>
      </c>
      <c r="H11" s="15">
        <f>'C.M.I'!H11+[8]CMI!D10</f>
        <v>5768.08</v>
      </c>
      <c r="I11" s="47">
        <f>'C.M.I'!I11</f>
        <v>558.95000000000005</v>
      </c>
      <c r="J11" s="15">
        <f>Total!I102</f>
        <v>450</v>
      </c>
      <c r="K11" s="47">
        <f>'C.M.I'!K11+[7]CMI!G11</f>
        <v>6584.3600000000006</v>
      </c>
      <c r="L11" s="15">
        <f>Total!K102</f>
        <v>8893.64</v>
      </c>
      <c r="M11" s="27">
        <f t="shared" si="0"/>
        <v>8192.5</v>
      </c>
      <c r="N11" s="27">
        <f>'C.M.I'!N11+[7]CMI!H11</f>
        <v>41835</v>
      </c>
      <c r="O11" s="52">
        <f t="shared" si="1"/>
        <v>33642.5</v>
      </c>
    </row>
    <row r="12" spans="1:15" ht="16.5" customHeight="1" x14ac:dyDescent="0.25">
      <c r="A12" s="188" t="s">
        <v>46</v>
      </c>
      <c r="B12" s="189"/>
      <c r="C12" s="12">
        <f>Total!B133</f>
        <v>0</v>
      </c>
      <c r="D12" s="12">
        <f>Total!C133</f>
        <v>0</v>
      </c>
      <c r="E12" s="12">
        <f>Total!D133</f>
        <v>0</v>
      </c>
      <c r="F12" s="12">
        <f>Total!E133</f>
        <v>0</v>
      </c>
      <c r="G12" s="47">
        <f>'C.M.I'!G12+[7]CMI!C12</f>
        <v>3727.03</v>
      </c>
      <c r="H12" s="15">
        <f>'C.M.I'!H12+[8]CMI!D11</f>
        <v>22652.57</v>
      </c>
      <c r="I12" s="47">
        <f>'C.M.I'!I12</f>
        <v>7266.35</v>
      </c>
      <c r="J12" s="15">
        <f>Total!I133</f>
        <v>6150</v>
      </c>
      <c r="K12" s="47">
        <f>'C.M.I'!K12+[7]CMI!G12</f>
        <v>22801.84</v>
      </c>
      <c r="L12" s="15">
        <f>Total!K133</f>
        <v>39277.22</v>
      </c>
      <c r="M12" s="27">
        <f t="shared" si="0"/>
        <v>33795.22</v>
      </c>
      <c r="N12" s="27">
        <f>'C.M.I'!N12+[7]CMI!H12</f>
        <v>42325</v>
      </c>
      <c r="O12" s="52">
        <f t="shared" si="1"/>
        <v>8529.7799999999988</v>
      </c>
    </row>
    <row r="13" spans="1:15" ht="16.5" customHeight="1" x14ac:dyDescent="0.25">
      <c r="A13" s="188" t="s">
        <v>47</v>
      </c>
      <c r="B13" s="189"/>
      <c r="C13" s="12">
        <f>Total!B164</f>
        <v>0</v>
      </c>
      <c r="D13" s="12">
        <f>Total!C164</f>
        <v>0</v>
      </c>
      <c r="E13" s="12">
        <f>Total!D164</f>
        <v>0</v>
      </c>
      <c r="F13" s="12">
        <f>Total!E164</f>
        <v>0</v>
      </c>
      <c r="G13" s="47">
        <f>'C.M.I'!G13+[7]CMI!C13</f>
        <v>2263.7599999999998</v>
      </c>
      <c r="H13" s="15">
        <f>'C.M.I'!H13+[8]CMI!D12</f>
        <v>13970.95</v>
      </c>
      <c r="I13" s="47">
        <f>'C.M.I'!I13</f>
        <v>3912.65</v>
      </c>
      <c r="J13" s="15">
        <f>Total!I164</f>
        <v>3150</v>
      </c>
      <c r="K13" s="47">
        <f>'C.M.I'!K13+[7]CMI!G13</f>
        <v>8995.07</v>
      </c>
      <c r="L13" s="15">
        <f>Total!K164</f>
        <v>22928.12</v>
      </c>
      <c r="M13" s="27">
        <f t="shared" si="0"/>
        <v>15171.48</v>
      </c>
      <c r="N13" s="27">
        <f>'C.M.I'!N13+[7]CMI!H13</f>
        <v>41495</v>
      </c>
      <c r="O13" s="52">
        <f t="shared" si="1"/>
        <v>26323.52</v>
      </c>
    </row>
    <row r="14" spans="1:15" ht="16.5" customHeight="1" x14ac:dyDescent="0.25">
      <c r="A14" s="188" t="s">
        <v>48</v>
      </c>
      <c r="B14" s="189"/>
      <c r="C14" s="12">
        <f>Total!B195</f>
        <v>0</v>
      </c>
      <c r="D14" s="12">
        <f>Total!C195</f>
        <v>2</v>
      </c>
      <c r="E14" s="12">
        <f>Total!D195</f>
        <v>0</v>
      </c>
      <c r="F14" s="12">
        <f>Total!E195</f>
        <v>0</v>
      </c>
      <c r="G14" s="47">
        <f>'C.M.I'!G14+[7]CMI!C14</f>
        <v>107.81</v>
      </c>
      <c r="H14" s="15">
        <f>'C.M.I'!H14+[8]CMI!D13</f>
        <v>0</v>
      </c>
      <c r="I14" s="47">
        <f>'C.M.I'!I14</f>
        <v>0</v>
      </c>
      <c r="J14" s="15">
        <f>Total!I195</f>
        <v>0</v>
      </c>
      <c r="K14" s="47">
        <f>'C.M.I'!K14+[7]CMI!G14</f>
        <v>2283.21</v>
      </c>
      <c r="L14" s="47">
        <f>Total!K195</f>
        <v>0</v>
      </c>
      <c r="M14" s="26">
        <f t="shared" si="0"/>
        <v>2391.02</v>
      </c>
      <c r="N14" s="27">
        <f>'C.M.I'!N14+[7]CMI!H14</f>
        <v>41430</v>
      </c>
      <c r="O14" s="52">
        <f t="shared" si="1"/>
        <v>39038.980000000003</v>
      </c>
    </row>
    <row r="15" spans="1:15" ht="16.5" customHeight="1" x14ac:dyDescent="0.25">
      <c r="A15" s="188" t="s">
        <v>49</v>
      </c>
      <c r="B15" s="189"/>
      <c r="C15" s="12">
        <f>Total!B226</f>
        <v>0</v>
      </c>
      <c r="D15" s="12">
        <f>Total!C226</f>
        <v>8</v>
      </c>
      <c r="E15" s="12">
        <f>Total!D226</f>
        <v>0</v>
      </c>
      <c r="F15" s="12">
        <f>Total!E226</f>
        <v>0</v>
      </c>
      <c r="G15" s="47">
        <f>'C.M.I'!G15+[7]CMI!C15</f>
        <v>285.58</v>
      </c>
      <c r="H15" s="15">
        <f>'C.M.I'!H15+[8]CMI!D14</f>
        <v>0</v>
      </c>
      <c r="I15" s="47">
        <f>'C.M.I'!I15</f>
        <v>0</v>
      </c>
      <c r="J15" s="15">
        <f>Total!I226</f>
        <v>0</v>
      </c>
      <c r="K15" s="47">
        <f>'C.M.I'!K15+[7]CMI!G15</f>
        <v>3587.0699999999997</v>
      </c>
      <c r="L15" s="15">
        <f>Total!K226</f>
        <v>0</v>
      </c>
      <c r="M15" s="27">
        <f t="shared" si="0"/>
        <v>3872.6499999999996</v>
      </c>
      <c r="N15" s="27">
        <f>'C.M.I'!N15+[7]CMI!H15</f>
        <v>50237.97</v>
      </c>
      <c r="O15" s="52">
        <f t="shared" si="1"/>
        <v>46365.32</v>
      </c>
    </row>
    <row r="16" spans="1:15" ht="16.5" customHeight="1" x14ac:dyDescent="0.25">
      <c r="A16" s="188" t="s">
        <v>50</v>
      </c>
      <c r="B16" s="189"/>
      <c r="C16" s="12">
        <f>Total!B257</f>
        <v>0</v>
      </c>
      <c r="D16" s="12">
        <f>Total!C257</f>
        <v>2</v>
      </c>
      <c r="E16" s="12">
        <f>Total!D257</f>
        <v>0</v>
      </c>
      <c r="F16" s="12">
        <f>Total!E257</f>
        <v>0</v>
      </c>
      <c r="G16" s="47">
        <f>'C.M.I'!G16+[7]CMI!C16</f>
        <v>305.60000000000002</v>
      </c>
      <c r="H16" s="15">
        <f>'C.M.I'!H16+[8]CMI!D15</f>
        <v>0</v>
      </c>
      <c r="I16" s="47">
        <f>'C.M.I'!I16</f>
        <v>0</v>
      </c>
      <c r="J16" s="15">
        <f>Total!I257</f>
        <v>0</v>
      </c>
      <c r="K16" s="47">
        <f>'C.M.I'!K16+[7]CMI!G16</f>
        <v>2064.6999999999998</v>
      </c>
      <c r="L16" s="15">
        <f>Total!K257</f>
        <v>0</v>
      </c>
      <c r="M16" s="27">
        <f t="shared" si="0"/>
        <v>2370.2999999999997</v>
      </c>
      <c r="N16" s="27">
        <f>'C.M.I'!N16+[7]CMI!H16</f>
        <v>45071.360000000001</v>
      </c>
      <c r="O16" s="52">
        <f t="shared" si="1"/>
        <v>42701.06</v>
      </c>
    </row>
    <row r="17" spans="1:15" ht="16.5" customHeight="1" x14ac:dyDescent="0.25">
      <c r="A17" s="188" t="s">
        <v>51</v>
      </c>
      <c r="B17" s="189"/>
      <c r="C17" s="12">
        <f>Total!B288</f>
        <v>0</v>
      </c>
      <c r="D17" s="12">
        <f>Total!C288</f>
        <v>3</v>
      </c>
      <c r="E17" s="12">
        <f>Total!D288</f>
        <v>0</v>
      </c>
      <c r="F17" s="12">
        <f>Total!E288</f>
        <v>0</v>
      </c>
      <c r="G17" s="47">
        <f>'C.M.I'!G17+[7]CMI!C17</f>
        <v>0</v>
      </c>
      <c r="H17" s="15">
        <f>'C.M.I'!H17+[8]CMI!D16</f>
        <v>0</v>
      </c>
      <c r="I17" s="47">
        <f>'C.M.I'!I17</f>
        <v>0</v>
      </c>
      <c r="J17" s="15">
        <f>Total!I288</f>
        <v>0</v>
      </c>
      <c r="K17" s="47">
        <f>'C.M.I'!K17+[7]CMI!G17</f>
        <v>0</v>
      </c>
      <c r="L17" s="15">
        <f>Total!K288</f>
        <v>0</v>
      </c>
      <c r="M17" s="27">
        <f t="shared" si="0"/>
        <v>0</v>
      </c>
      <c r="N17" s="27">
        <f>'C.M.I'!N17+[7]CMI!H17</f>
        <v>0</v>
      </c>
      <c r="O17" s="52">
        <f t="shared" si="1"/>
        <v>0</v>
      </c>
    </row>
    <row r="18" spans="1:15" ht="16.5" customHeight="1" x14ac:dyDescent="0.25">
      <c r="A18" s="188" t="s">
        <v>53</v>
      </c>
      <c r="B18" s="189"/>
      <c r="C18" s="12">
        <f>Total!B319</f>
        <v>0</v>
      </c>
      <c r="D18" s="12">
        <f>Total!C319</f>
        <v>6</v>
      </c>
      <c r="E18" s="12">
        <f>Total!D319</f>
        <v>0</v>
      </c>
      <c r="F18" s="12">
        <f>Total!E319</f>
        <v>0</v>
      </c>
      <c r="G18" s="47">
        <f>'C.M.I'!G18+[7]CMI!C18</f>
        <v>550.21</v>
      </c>
      <c r="H18" s="15">
        <f>'C.M.I'!H18+[8]CMI!D17</f>
        <v>0</v>
      </c>
      <c r="I18" s="47">
        <f>'C.M.I'!I18</f>
        <v>0</v>
      </c>
      <c r="J18" s="15">
        <f>Total!I319</f>
        <v>0</v>
      </c>
      <c r="K18" s="47">
        <f>'C.M.I'!K18+[7]CMI!G18</f>
        <v>3693.2200000000003</v>
      </c>
      <c r="L18" s="15">
        <f>Total!K319</f>
        <v>0</v>
      </c>
      <c r="M18" s="27">
        <f t="shared" si="0"/>
        <v>4243.43</v>
      </c>
      <c r="N18" s="27">
        <f>'C.M.I'!N18+[7]CMI!H18</f>
        <v>4665</v>
      </c>
      <c r="O18" s="52">
        <f t="shared" si="1"/>
        <v>421.56999999999971</v>
      </c>
    </row>
    <row r="19" spans="1:15" ht="16.5" customHeight="1" thickBot="1" x14ac:dyDescent="0.3">
      <c r="A19" s="188" t="s">
        <v>54</v>
      </c>
      <c r="B19" s="189"/>
      <c r="C19" s="12">
        <f>Total!B350</f>
        <v>0</v>
      </c>
      <c r="D19" s="12">
        <f>Total!C350</f>
        <v>0</v>
      </c>
      <c r="E19" s="12">
        <f>Total!D350</f>
        <v>0</v>
      </c>
      <c r="F19" s="12">
        <f>Total!E350</f>
        <v>0</v>
      </c>
      <c r="G19" s="48">
        <f>'C.M.I'!G19+[7]CMI!C19</f>
        <v>169.07</v>
      </c>
      <c r="H19" s="15">
        <f>'C.M.I'!H19+[8]CMI!D18</f>
        <v>0</v>
      </c>
      <c r="I19" s="48">
        <f>'C.M.I'!I19</f>
        <v>0</v>
      </c>
      <c r="J19" s="15">
        <f>Total!I350</f>
        <v>0</v>
      </c>
      <c r="K19" s="48">
        <f>'C.M.I'!K19+[7]CMI!G19</f>
        <v>1507.3999999999999</v>
      </c>
      <c r="L19" s="15">
        <f>Total!K350</f>
        <v>0</v>
      </c>
      <c r="M19" s="27">
        <f t="shared" si="0"/>
        <v>1676.4699999999998</v>
      </c>
      <c r="N19" s="27">
        <f>'C.M.I'!N19+[7]CMI!H19</f>
        <v>2070</v>
      </c>
      <c r="O19" s="52">
        <f t="shared" si="1"/>
        <v>393.5300000000002</v>
      </c>
    </row>
    <row r="20" spans="1:15" ht="20.100000000000001" customHeight="1" thickBot="1" x14ac:dyDescent="0.3">
      <c r="A20" s="195" t="s">
        <v>72</v>
      </c>
      <c r="B20" s="187"/>
      <c r="C20" s="17">
        <f t="shared" ref="C20:O20" si="2">SUM(C8:C19)</f>
        <v>0</v>
      </c>
      <c r="D20" s="17">
        <f t="shared" si="2"/>
        <v>21</v>
      </c>
      <c r="E20" s="17">
        <f t="shared" si="2"/>
        <v>0</v>
      </c>
      <c r="F20" s="17">
        <f t="shared" si="2"/>
        <v>0</v>
      </c>
      <c r="G20" s="18">
        <f t="shared" si="2"/>
        <v>12718.59</v>
      </c>
      <c r="H20" s="18">
        <f t="shared" si="2"/>
        <v>68502.819999999992</v>
      </c>
      <c r="I20" s="18">
        <f t="shared" si="2"/>
        <v>19563.25</v>
      </c>
      <c r="J20" s="18">
        <f t="shared" si="2"/>
        <v>19680</v>
      </c>
      <c r="K20" s="18">
        <f t="shared" si="2"/>
        <v>78344.909999999989</v>
      </c>
      <c r="L20" s="18">
        <f t="shared" si="2"/>
        <v>110775.35999999999</v>
      </c>
      <c r="M20" s="18">
        <f t="shared" si="2"/>
        <v>110626.75</v>
      </c>
      <c r="N20" s="18" t="e">
        <f t="shared" si="2"/>
        <v>#REF!</v>
      </c>
      <c r="O20" s="30" t="e">
        <f t="shared" si="2"/>
        <v>#REF!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78740157480314965" header="0.31496062992125978" footer="0.31496062992125978"/>
  <pageSetup paperSize="9" scale="94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5">
    <pageSetUpPr fitToPage="1"/>
  </sheetPr>
  <dimension ref="A1:O20"/>
  <sheetViews>
    <sheetView workbookViewId="0">
      <selection sqref="A1:O20"/>
    </sheetView>
  </sheetViews>
  <sheetFormatPr defaultRowHeight="15" x14ac:dyDescent="0.25"/>
  <cols>
    <col min="1" max="1" width="11.140625" bestFit="1" customWidth="1"/>
    <col min="3" max="3" width="7.140625" bestFit="1" customWidth="1"/>
    <col min="4" max="4" width="8.5703125" bestFit="1" customWidth="1"/>
    <col min="5" max="5" width="5.140625" bestFit="1" customWidth="1"/>
    <col min="6" max="6" width="6.42578125" bestFit="1" customWidth="1"/>
    <col min="7" max="7" width="10.85546875" bestFit="1" customWidth="1"/>
    <col min="8" max="8" width="10.7109375" bestFit="1" customWidth="1"/>
    <col min="9" max="9" width="11.28515625" bestFit="1" customWidth="1"/>
    <col min="10" max="10" width="10.7109375" bestFit="1" customWidth="1"/>
    <col min="11" max="11" width="10.85546875" bestFit="1" customWidth="1"/>
    <col min="12" max="12" width="10.7109375" bestFit="1" customWidth="1"/>
    <col min="13" max="13" width="11.28515625" bestFit="1" customWidth="1"/>
    <col min="14" max="14" width="10.7109375" bestFit="1" customWidth="1"/>
    <col min="15" max="15" width="12.28515625" bestFit="1" customWidth="1"/>
  </cols>
  <sheetData>
    <row r="1" spans="1:15" ht="15.75" customHeight="1" x14ac:dyDescent="0.25">
      <c r="A1" s="198" t="s">
        <v>74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83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SOCIOS!G5</f>
        <v>66</v>
      </c>
      <c r="H5" s="191" t="s">
        <v>65</v>
      </c>
      <c r="I5" s="173"/>
      <c r="J5" s="61">
        <f>SOCIOS!J5</f>
        <v>723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ht="16.5" customHeight="1" x14ac:dyDescent="0.25">
      <c r="A8" s="192" t="s">
        <v>1</v>
      </c>
      <c r="B8" s="193"/>
      <c r="C8" s="12">
        <f>SOCIOS!C8</f>
        <v>0</v>
      </c>
      <c r="D8" s="12">
        <f>SOCIOS!D8</f>
        <v>0</v>
      </c>
      <c r="E8" s="12">
        <f>SOCIOS!E8</f>
        <v>0</v>
      </c>
      <c r="F8" s="12">
        <f>SOCIOS!F8</f>
        <v>0</v>
      </c>
      <c r="G8" s="46">
        <f>SOCIOS!G8+[7]SÓCIOS!$C$8</f>
        <v>4419.3500000000004</v>
      </c>
      <c r="H8" s="15">
        <f>SOCIOS!H8+[8]SÓCIOS!D7</f>
        <v>40504.21</v>
      </c>
      <c r="I8" s="46">
        <f>SOCIOS!I8</f>
        <v>7280.85</v>
      </c>
      <c r="J8" s="15">
        <f>Total!I28</f>
        <v>0</v>
      </c>
      <c r="K8" s="46">
        <f>SOCIOS!K8+[7]SÓCIOS!$E$8</f>
        <v>24802.51</v>
      </c>
      <c r="L8" s="15">
        <f>SOCIOS!L8+[8]SÓCIOS!H7</f>
        <v>5946.05</v>
      </c>
      <c r="M8" s="27">
        <f t="shared" ref="M8:M19" si="0">G8+I8+K8</f>
        <v>36502.71</v>
      </c>
      <c r="N8" s="27">
        <f>SOCIOS!N8</f>
        <v>4460.7</v>
      </c>
      <c r="O8" s="52">
        <f t="shared" ref="O8:O19" si="1">N8-M8</f>
        <v>-32042.01</v>
      </c>
    </row>
    <row r="9" spans="1:15" ht="16.5" customHeight="1" x14ac:dyDescent="0.25">
      <c r="A9" s="188" t="s">
        <v>43</v>
      </c>
      <c r="B9" s="189"/>
      <c r="C9" s="12">
        <f>SOCIOS!C9</f>
        <v>0</v>
      </c>
      <c r="D9" s="12">
        <f>SOCIOS!D9</f>
        <v>0</v>
      </c>
      <c r="E9" s="12">
        <f>SOCIOS!E9</f>
        <v>0</v>
      </c>
      <c r="F9" s="12">
        <f>SOCIOS!F9</f>
        <v>0</v>
      </c>
      <c r="G9" s="47">
        <f>SOCIOS!G9+[7]SÓCIOS!$C$8</f>
        <v>5840.44</v>
      </c>
      <c r="H9" s="15">
        <f>SOCIOS!H9+[8]SÓCIOS!D8</f>
        <v>38032.03</v>
      </c>
      <c r="I9" s="47">
        <f>SOCIOS!I9</f>
        <v>69389.88</v>
      </c>
      <c r="J9" s="15">
        <f>Total!I59</f>
        <v>151.47</v>
      </c>
      <c r="K9" s="47">
        <f>SOCIOS!K9+[7]SÓCIOS!$E$8</f>
        <v>22918.57</v>
      </c>
      <c r="L9" s="15">
        <f>SOCIOS!L9+[8]SÓCIOS!H8</f>
        <v>8034.01</v>
      </c>
      <c r="M9" s="27">
        <f t="shared" si="0"/>
        <v>98148.890000000014</v>
      </c>
      <c r="N9" s="27">
        <f>SOCIOS!N9</f>
        <v>1940.1</v>
      </c>
      <c r="O9" s="52">
        <f t="shared" si="1"/>
        <v>-96208.790000000008</v>
      </c>
    </row>
    <row r="10" spans="1:15" ht="16.5" customHeight="1" x14ac:dyDescent="0.25">
      <c r="A10" s="188" t="s">
        <v>44</v>
      </c>
      <c r="B10" s="189"/>
      <c r="C10" s="12">
        <f>SOCIOS!C10</f>
        <v>0</v>
      </c>
      <c r="D10" s="12">
        <f>SOCIOS!D10</f>
        <v>0</v>
      </c>
      <c r="E10" s="12">
        <f>SOCIOS!E10</f>
        <v>0</v>
      </c>
      <c r="F10" s="12">
        <f>SOCIOS!F10</f>
        <v>0</v>
      </c>
      <c r="G10" s="47">
        <f>SOCIOS!G10+[7]SÓCIOS!$C$8</f>
        <v>6455.07</v>
      </c>
      <c r="H10" s="15">
        <f>SOCIOS!H10+[8]SÓCIOS!D9</f>
        <v>38617.199999999997</v>
      </c>
      <c r="I10" s="47">
        <f>SOCIOS!I10</f>
        <v>9960.75</v>
      </c>
      <c r="J10" s="15">
        <f>Total!I90</f>
        <v>0</v>
      </c>
      <c r="K10" s="47">
        <f>SOCIOS!K10+[7]SÓCIOS!$E$8</f>
        <v>10574.53</v>
      </c>
      <c r="L10" s="15">
        <f>SOCIOS!L10+[8]SÓCIOS!H9</f>
        <v>2747.28</v>
      </c>
      <c r="M10" s="27">
        <f t="shared" si="0"/>
        <v>26990.35</v>
      </c>
      <c r="N10" s="27">
        <f>SOCIOS!N10</f>
        <v>2591.8000000000002</v>
      </c>
      <c r="O10" s="52">
        <f t="shared" si="1"/>
        <v>-24398.55</v>
      </c>
    </row>
    <row r="11" spans="1:15" ht="16.5" customHeight="1" x14ac:dyDescent="0.25">
      <c r="A11" s="188" t="s">
        <v>45</v>
      </c>
      <c r="B11" s="189"/>
      <c r="C11" s="12">
        <f>SOCIOS!C11</f>
        <v>0</v>
      </c>
      <c r="D11" s="12">
        <f>SOCIOS!D11</f>
        <v>0</v>
      </c>
      <c r="E11" s="12">
        <f>SOCIOS!E11</f>
        <v>0</v>
      </c>
      <c r="F11" s="12">
        <f>SOCIOS!F11</f>
        <v>0</v>
      </c>
      <c r="G11" s="47">
        <f>SOCIOS!G11+[7]SÓCIOS!$C$8</f>
        <v>4829.8</v>
      </c>
      <c r="H11" s="15">
        <f>SOCIOS!H11+[8]SÓCIOS!D10</f>
        <v>15481.65</v>
      </c>
      <c r="I11" s="47">
        <f>SOCIOS!I11</f>
        <v>9748.65</v>
      </c>
      <c r="J11" s="15">
        <f>Total!I121</f>
        <v>0</v>
      </c>
      <c r="K11" s="47">
        <f>SOCIOS!K11+[7]SÓCIOS!$E$8</f>
        <v>2978.2</v>
      </c>
      <c r="L11" s="15">
        <f>SOCIOS!L11+[8]SÓCIOS!H10</f>
        <v>2160.48</v>
      </c>
      <c r="M11" s="27">
        <f t="shared" si="0"/>
        <v>17556.650000000001</v>
      </c>
      <c r="N11" s="27">
        <f>SOCIOS!N11</f>
        <v>653.4</v>
      </c>
      <c r="O11" s="52">
        <f t="shared" si="1"/>
        <v>-16903.25</v>
      </c>
    </row>
    <row r="12" spans="1:15" ht="16.5" customHeight="1" x14ac:dyDescent="0.25">
      <c r="A12" s="188" t="s">
        <v>46</v>
      </c>
      <c r="B12" s="189"/>
      <c r="C12" s="12">
        <f>SOCIOS!C12</f>
        <v>0</v>
      </c>
      <c r="D12" s="12">
        <f>SOCIOS!D12</f>
        <v>0</v>
      </c>
      <c r="E12" s="12">
        <f>SOCIOS!E12</f>
        <v>0</v>
      </c>
      <c r="F12" s="12">
        <f>SOCIOS!F12</f>
        <v>0</v>
      </c>
      <c r="G12" s="47">
        <f>SOCIOS!G12+[7]SÓCIOS!$C$8</f>
        <v>4797.47</v>
      </c>
      <c r="H12" s="15">
        <f>SOCIOS!H12+[8]SÓCIOS!D11</f>
        <v>39140.78</v>
      </c>
      <c r="I12" s="47">
        <f>SOCIOS!I12</f>
        <v>18923.849999999999</v>
      </c>
      <c r="J12" s="15">
        <f>Total!I152</f>
        <v>8228.86</v>
      </c>
      <c r="K12" s="47">
        <f>SOCIOS!K12+[7]SÓCIOS!$E$8</f>
        <v>438.08</v>
      </c>
      <c r="L12" s="15">
        <f>SOCIOS!L12+[8]SÓCIOS!H11</f>
        <v>175</v>
      </c>
      <c r="M12" s="27">
        <f t="shared" si="0"/>
        <v>24159.4</v>
      </c>
      <c r="N12" s="27">
        <f>SOCIOS!N12</f>
        <v>1789.8</v>
      </c>
      <c r="O12" s="52">
        <f t="shared" si="1"/>
        <v>-22369.600000000002</v>
      </c>
    </row>
    <row r="13" spans="1:15" ht="16.5" customHeight="1" x14ac:dyDescent="0.25">
      <c r="A13" s="188" t="s">
        <v>47</v>
      </c>
      <c r="B13" s="189"/>
      <c r="C13" s="12">
        <f>SOCIOS!C13</f>
        <v>0</v>
      </c>
      <c r="D13" s="12">
        <f>SOCIOS!D13</f>
        <v>0</v>
      </c>
      <c r="E13" s="12">
        <f>SOCIOS!E13</f>
        <v>0</v>
      </c>
      <c r="F13" s="12">
        <f>SOCIOS!F13</f>
        <v>0</v>
      </c>
      <c r="G13" s="47">
        <f>SOCIOS!G13+[7]SÓCIOS!$C$8</f>
        <v>5273.09</v>
      </c>
      <c r="H13" s="15">
        <f>SOCIOS!H13+[8]SÓCIOS!D12</f>
        <v>17724.740000000002</v>
      </c>
      <c r="I13" s="47">
        <f>SOCIOS!I13</f>
        <v>34980.449999999997</v>
      </c>
      <c r="J13" s="15">
        <f>Total!I183</f>
        <v>9505.82</v>
      </c>
      <c r="K13" s="47">
        <f>SOCIOS!K13+[7]SÓCIOS!$E$8</f>
        <v>1416.67</v>
      </c>
      <c r="L13" s="15">
        <f>SOCIOS!L13+[8]SÓCIOS!H12</f>
        <v>730.92</v>
      </c>
      <c r="M13" s="27">
        <f t="shared" si="0"/>
        <v>41670.209999999992</v>
      </c>
      <c r="N13" s="27">
        <f>SOCIOS!N13</f>
        <v>6239.5</v>
      </c>
      <c r="O13" s="52">
        <f t="shared" si="1"/>
        <v>-35430.709999999992</v>
      </c>
    </row>
    <row r="14" spans="1:15" ht="16.5" customHeight="1" x14ac:dyDescent="0.25">
      <c r="A14" s="188" t="s">
        <v>48</v>
      </c>
      <c r="B14" s="189"/>
      <c r="C14" s="12">
        <f>SOCIOS!C14</f>
        <v>5</v>
      </c>
      <c r="D14" s="12">
        <f>SOCIOS!D14</f>
        <v>0</v>
      </c>
      <c r="E14" s="12">
        <f>SOCIOS!E14</f>
        <v>13</v>
      </c>
      <c r="F14" s="12">
        <f>SOCIOS!F14</f>
        <v>0</v>
      </c>
      <c r="G14" s="47">
        <f>SOCIOS!G14+[7]SÓCIOS!$C$8</f>
        <v>0</v>
      </c>
      <c r="H14" s="15">
        <f>SOCIOS!H14+[8]SÓCIOS!D13</f>
        <v>0</v>
      </c>
      <c r="I14" s="47">
        <f>SOCIOS!I14</f>
        <v>0</v>
      </c>
      <c r="J14" s="15">
        <f>Total!I214</f>
        <v>0</v>
      </c>
      <c r="K14" s="47">
        <f>SOCIOS!K14+[7]SÓCIOS!$E$8</f>
        <v>0</v>
      </c>
      <c r="L14" s="47">
        <f>SOCIOS!L14+[8]SÓCIOS!H13</f>
        <v>0</v>
      </c>
      <c r="M14" s="26">
        <f t="shared" si="0"/>
        <v>0</v>
      </c>
      <c r="N14" s="27">
        <f>SOCIOS!N14</f>
        <v>1791.9</v>
      </c>
      <c r="O14" s="52">
        <f t="shared" si="1"/>
        <v>1791.9</v>
      </c>
    </row>
    <row r="15" spans="1:15" ht="16.5" customHeight="1" x14ac:dyDescent="0.25">
      <c r="A15" s="188" t="s">
        <v>49</v>
      </c>
      <c r="B15" s="189"/>
      <c r="C15" s="12">
        <f>SOCIOS!C15</f>
        <v>25</v>
      </c>
      <c r="D15" s="12">
        <f>SOCIOS!D15</f>
        <v>3</v>
      </c>
      <c r="E15" s="12">
        <f>SOCIOS!E15</f>
        <v>0</v>
      </c>
      <c r="F15" s="12">
        <f>SOCIOS!F15</f>
        <v>0</v>
      </c>
      <c r="G15" s="47">
        <f>SOCIOS!G15+[7]SÓCIOS!$C$8</f>
        <v>0</v>
      </c>
      <c r="H15" s="15">
        <f>SOCIOS!H15+[8]SÓCIOS!D14</f>
        <v>0</v>
      </c>
      <c r="I15" s="47">
        <f>SOCIOS!I15</f>
        <v>0</v>
      </c>
      <c r="J15" s="15">
        <f>Total!I245</f>
        <v>0</v>
      </c>
      <c r="K15" s="47">
        <f>SOCIOS!K15+[7]SÓCIOS!$E$8</f>
        <v>0</v>
      </c>
      <c r="L15" s="15">
        <f>SOCIOS!L15+[8]SÓCIOS!H14</f>
        <v>0</v>
      </c>
      <c r="M15" s="27">
        <f t="shared" si="0"/>
        <v>0</v>
      </c>
      <c r="N15" s="27">
        <f>SOCIOS!N15</f>
        <v>4296.6000000000004</v>
      </c>
      <c r="O15" s="52">
        <f t="shared" si="1"/>
        <v>4296.6000000000004</v>
      </c>
    </row>
    <row r="16" spans="1:15" ht="16.5" customHeight="1" x14ac:dyDescent="0.25">
      <c r="A16" s="188" t="s">
        <v>50</v>
      </c>
      <c r="B16" s="189"/>
      <c r="C16" s="12">
        <f>SOCIOS!C16</f>
        <v>55</v>
      </c>
      <c r="D16" s="12">
        <f>SOCIOS!D16</f>
        <v>0</v>
      </c>
      <c r="E16" s="12">
        <f>SOCIOS!E16</f>
        <v>8</v>
      </c>
      <c r="F16" s="12">
        <f>SOCIOS!F16</f>
        <v>0</v>
      </c>
      <c r="G16" s="47">
        <f>SOCIOS!G16+[7]SÓCIOS!$C$8</f>
        <v>0</v>
      </c>
      <c r="H16" s="15">
        <f>SOCIOS!H16+[8]SÓCIOS!D15</f>
        <v>0</v>
      </c>
      <c r="I16" s="47">
        <f>SOCIOS!I16</f>
        <v>0</v>
      </c>
      <c r="J16" s="15">
        <f>Total!I276</f>
        <v>0</v>
      </c>
      <c r="K16" s="47">
        <f>SOCIOS!K16+[7]SÓCIOS!$E$8</f>
        <v>0</v>
      </c>
      <c r="L16" s="15">
        <f>SOCIOS!L16+[8]SÓCIOS!H15</f>
        <v>0</v>
      </c>
      <c r="M16" s="27">
        <f t="shared" si="0"/>
        <v>0</v>
      </c>
      <c r="N16" s="27">
        <f>SOCIOS!N16</f>
        <v>3081.2</v>
      </c>
      <c r="O16" s="52">
        <f t="shared" si="1"/>
        <v>3081.2</v>
      </c>
    </row>
    <row r="17" spans="1:15" ht="16.5" customHeight="1" x14ac:dyDescent="0.25">
      <c r="A17" s="188" t="s">
        <v>51</v>
      </c>
      <c r="B17" s="189"/>
      <c r="C17" s="12">
        <f>SOCIOS!C17</f>
        <v>14</v>
      </c>
      <c r="D17" s="12">
        <f>SOCIOS!D17</f>
        <v>0</v>
      </c>
      <c r="E17" s="12">
        <f>SOCIOS!E17</f>
        <v>0</v>
      </c>
      <c r="F17" s="12">
        <f>SOCIOS!F17</f>
        <v>0</v>
      </c>
      <c r="G17" s="47">
        <f>SOCIOS!G17+[7]SÓCIOS!$C$8</f>
        <v>0</v>
      </c>
      <c r="H17" s="15">
        <f>SOCIOS!H17+[8]SÓCIOS!D16</f>
        <v>0</v>
      </c>
      <c r="I17" s="47">
        <f>SOCIOS!I17</f>
        <v>0</v>
      </c>
      <c r="J17" s="15">
        <f>Total!I307</f>
        <v>0</v>
      </c>
      <c r="K17" s="47">
        <f>SOCIOS!K17+[7]SÓCIOS!$E$8</f>
        <v>0</v>
      </c>
      <c r="L17" s="15">
        <f>SOCIOS!L17+[8]SÓCIOS!H16</f>
        <v>0</v>
      </c>
      <c r="M17" s="27">
        <f t="shared" si="0"/>
        <v>0</v>
      </c>
      <c r="N17" s="27">
        <f>SOCIOS!N17</f>
        <v>0</v>
      </c>
      <c r="O17" s="52">
        <f t="shared" si="1"/>
        <v>0</v>
      </c>
    </row>
    <row r="18" spans="1:15" ht="16.5" customHeight="1" x14ac:dyDescent="0.25">
      <c r="A18" s="188" t="s">
        <v>53</v>
      </c>
      <c r="B18" s="189"/>
      <c r="C18" s="12">
        <f>SOCIOS!C18</f>
        <v>5</v>
      </c>
      <c r="D18" s="12">
        <f>SOCIOS!D18</f>
        <v>0</v>
      </c>
      <c r="E18" s="12">
        <f>SOCIOS!E18</f>
        <v>7</v>
      </c>
      <c r="F18" s="12">
        <f>SOCIOS!F18</f>
        <v>0</v>
      </c>
      <c r="G18" s="47">
        <f>SOCIOS!G18+[7]SÓCIOS!$C$8</f>
        <v>0</v>
      </c>
      <c r="H18" s="15">
        <f>SOCIOS!H18+[8]SÓCIOS!D17</f>
        <v>0</v>
      </c>
      <c r="I18" s="47">
        <f>SOCIOS!I18</f>
        <v>0</v>
      </c>
      <c r="J18" s="15">
        <f>Total!I338</f>
        <v>0</v>
      </c>
      <c r="K18" s="47">
        <f>SOCIOS!K18+[7]SÓCIOS!$E$8</f>
        <v>0</v>
      </c>
      <c r="L18" s="15">
        <f>SOCIOS!L18+[8]SÓCIOS!H17</f>
        <v>0</v>
      </c>
      <c r="M18" s="27">
        <f t="shared" si="0"/>
        <v>0</v>
      </c>
      <c r="N18" s="27">
        <f>SOCIOS!N18</f>
        <v>0</v>
      </c>
      <c r="O18" s="52">
        <f t="shared" si="1"/>
        <v>0</v>
      </c>
    </row>
    <row r="19" spans="1:15" ht="16.5" customHeight="1" thickBot="1" x14ac:dyDescent="0.3">
      <c r="A19" s="188" t="s">
        <v>54</v>
      </c>
      <c r="B19" s="189"/>
      <c r="C19" s="12">
        <f>SOCIOS!C19</f>
        <v>0</v>
      </c>
      <c r="D19" s="12">
        <f>SOCIOS!D19</f>
        <v>0</v>
      </c>
      <c r="E19" s="12">
        <f>SOCIOS!E19</f>
        <v>0</v>
      </c>
      <c r="F19" s="12">
        <f>SOCIOS!F19</f>
        <v>0</v>
      </c>
      <c r="G19" s="48">
        <f>SOCIOS!G19+[7]SÓCIOS!$C$8</f>
        <v>0</v>
      </c>
      <c r="H19" s="15">
        <f>SOCIOS!H19+[8]SÓCIOS!D18</f>
        <v>0</v>
      </c>
      <c r="I19" s="48">
        <f>SOCIOS!I19</f>
        <v>0</v>
      </c>
      <c r="J19" s="15">
        <f>Total!I369</f>
        <v>0</v>
      </c>
      <c r="K19" s="48">
        <f>SOCIOS!K19+[7]SÓCIOS!$E$8</f>
        <v>0</v>
      </c>
      <c r="L19" s="15">
        <f>SOCIOS!L19+[8]SÓCIOS!H18</f>
        <v>0</v>
      </c>
      <c r="M19" s="27">
        <f t="shared" si="0"/>
        <v>0</v>
      </c>
      <c r="N19" s="27">
        <f>SOCIOS!N19</f>
        <v>0</v>
      </c>
      <c r="O19" s="52">
        <f t="shared" si="1"/>
        <v>0</v>
      </c>
    </row>
    <row r="20" spans="1:15" ht="20.100000000000001" customHeight="1" thickBot="1" x14ac:dyDescent="0.3">
      <c r="A20" s="195" t="s">
        <v>72</v>
      </c>
      <c r="B20" s="187"/>
      <c r="C20" s="17">
        <f t="shared" ref="C20:O20" si="2">SUM(C8:C19)</f>
        <v>104</v>
      </c>
      <c r="D20" s="17">
        <f t="shared" si="2"/>
        <v>3</v>
      </c>
      <c r="E20" s="17">
        <f t="shared" si="2"/>
        <v>28</v>
      </c>
      <c r="F20" s="17">
        <f t="shared" si="2"/>
        <v>0</v>
      </c>
      <c r="G20" s="18">
        <f t="shared" si="2"/>
        <v>31615.22</v>
      </c>
      <c r="H20" s="18">
        <f t="shared" si="2"/>
        <v>189500.61</v>
      </c>
      <c r="I20" s="18">
        <f t="shared" si="2"/>
        <v>150284.43</v>
      </c>
      <c r="J20" s="18">
        <f t="shared" si="2"/>
        <v>17886.150000000001</v>
      </c>
      <c r="K20" s="18">
        <f t="shared" si="2"/>
        <v>63128.56</v>
      </c>
      <c r="L20" s="18">
        <f t="shared" si="2"/>
        <v>19793.739999999998</v>
      </c>
      <c r="M20" s="18">
        <f t="shared" si="2"/>
        <v>245028.21</v>
      </c>
      <c r="N20" s="18">
        <f t="shared" si="2"/>
        <v>26844.999999999996</v>
      </c>
      <c r="O20" s="30">
        <f t="shared" si="2"/>
        <v>-218183.21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orientation="landscape" copies="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4">
    <tabColor rgb="FFFF0000"/>
  </sheetPr>
  <dimension ref="A1:O23"/>
  <sheetViews>
    <sheetView workbookViewId="0">
      <selection activeCell="G4" sqref="G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84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'[10]intern. diaria convenio'!$O$5</f>
        <v>0</v>
      </c>
      <c r="H4" s="210" t="s">
        <v>65</v>
      </c>
      <c r="I4" s="181"/>
      <c r="J4" s="3">
        <f>'[10]intern. diaria convenio'!$O$50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Total!B8</f>
        <v>0</v>
      </c>
      <c r="D7" s="12">
        <f>Total!C8</f>
        <v>0</v>
      </c>
      <c r="E7" s="12">
        <f>Total!D8</f>
        <v>0</v>
      </c>
      <c r="F7" s="12">
        <f>Total!E8</f>
        <v>0</v>
      </c>
      <c r="G7" s="23">
        <f>Total!F8</f>
        <v>0</v>
      </c>
      <c r="H7" s="23">
        <f>Total!G8</f>
        <v>0</v>
      </c>
      <c r="I7" s="23">
        <f>Total!H8</f>
        <v>0</v>
      </c>
      <c r="J7" s="23">
        <f>Total!I8</f>
        <v>0</v>
      </c>
      <c r="K7" s="23">
        <f>Total!J8</f>
        <v>0</v>
      </c>
      <c r="L7" s="23">
        <f>Total!K8</f>
        <v>0</v>
      </c>
      <c r="M7" s="24">
        <f>Total!L8</f>
        <v>0</v>
      </c>
      <c r="N7" s="24">
        <f>Total!M8</f>
        <v>0</v>
      </c>
      <c r="O7" s="24">
        <f>Total!N8</f>
        <v>0</v>
      </c>
    </row>
    <row r="8" spans="1:15" s="13" customFormat="1" ht="24.95" customHeight="1" x14ac:dyDescent="0.25">
      <c r="A8" s="188" t="s">
        <v>43</v>
      </c>
      <c r="B8" s="189"/>
      <c r="C8" s="12">
        <f>Total!B39</f>
        <v>0</v>
      </c>
      <c r="D8" s="12">
        <f>Total!C39</f>
        <v>0</v>
      </c>
      <c r="E8" s="12">
        <f>Total!D39</f>
        <v>0</v>
      </c>
      <c r="F8" s="12">
        <f>Total!E39</f>
        <v>0</v>
      </c>
      <c r="G8" s="23">
        <f>Total!F39</f>
        <v>0</v>
      </c>
      <c r="H8" s="23">
        <f>Total!G39</f>
        <v>0</v>
      </c>
      <c r="I8" s="23">
        <f>Total!H39</f>
        <v>0</v>
      </c>
      <c r="J8" s="23">
        <f>Total!I39</f>
        <v>0</v>
      </c>
      <c r="K8" s="23">
        <f>Total!J39</f>
        <v>0</v>
      </c>
      <c r="L8" s="23">
        <f>Total!K39</f>
        <v>0</v>
      </c>
      <c r="M8" s="24">
        <f>Total!L39</f>
        <v>0</v>
      </c>
      <c r="N8" s="24">
        <f>Total!M39</f>
        <v>0</v>
      </c>
      <c r="O8" s="24">
        <f>Total!N39</f>
        <v>0</v>
      </c>
    </row>
    <row r="9" spans="1:15" s="13" customFormat="1" ht="24.95" customHeight="1" x14ac:dyDescent="0.25">
      <c r="A9" s="188" t="s">
        <v>44</v>
      </c>
      <c r="B9" s="189"/>
      <c r="C9" s="12">
        <f>Total!B70</f>
        <v>0</v>
      </c>
      <c r="D9" s="12">
        <f>Total!C70</f>
        <v>0</v>
      </c>
      <c r="E9" s="12">
        <f>Total!D70</f>
        <v>0</v>
      </c>
      <c r="F9" s="12">
        <f>Total!E70</f>
        <v>0</v>
      </c>
      <c r="G9" s="23">
        <f>Total!F70</f>
        <v>0</v>
      </c>
      <c r="H9" s="23">
        <f>Total!G70</f>
        <v>0</v>
      </c>
      <c r="I9" s="23">
        <f>Total!H70</f>
        <v>0</v>
      </c>
      <c r="J9" s="23">
        <f>Total!I70</f>
        <v>0</v>
      </c>
      <c r="K9" s="23">
        <f>Total!J70</f>
        <v>0</v>
      </c>
      <c r="L9" s="23">
        <f>Total!K70</f>
        <v>0</v>
      </c>
      <c r="M9" s="24">
        <f>Total!L70</f>
        <v>0</v>
      </c>
      <c r="N9" s="24">
        <f>Total!M70</f>
        <v>0</v>
      </c>
      <c r="O9" s="24">
        <f>Total!N70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Total!B101</f>
        <v>0</v>
      </c>
      <c r="D10" s="12">
        <f>Total!C101</f>
        <v>0</v>
      </c>
      <c r="E10" s="12">
        <f>Total!D101</f>
        <v>0</v>
      </c>
      <c r="F10" s="12">
        <f>Total!E101</f>
        <v>0</v>
      </c>
      <c r="G10" s="23">
        <f>Total!F101</f>
        <v>0</v>
      </c>
      <c r="H10" s="23">
        <f>Total!G101</f>
        <v>0</v>
      </c>
      <c r="I10" s="23">
        <f>Total!H101</f>
        <v>0</v>
      </c>
      <c r="J10" s="23">
        <f>Total!I101</f>
        <v>0</v>
      </c>
      <c r="K10" s="23">
        <f>Total!J101</f>
        <v>0</v>
      </c>
      <c r="L10" s="23">
        <f>Total!K101</f>
        <v>0</v>
      </c>
      <c r="M10" s="24">
        <f>Total!L101</f>
        <v>0</v>
      </c>
      <c r="N10" s="24">
        <f>Total!M101</f>
        <v>0</v>
      </c>
      <c r="O10" s="24">
        <f>Total!N101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Total!B132</f>
        <v>0</v>
      </c>
      <c r="D11" s="12">
        <f>Total!C132</f>
        <v>0</v>
      </c>
      <c r="E11" s="12">
        <f>Total!D132</f>
        <v>0</v>
      </c>
      <c r="F11" s="12">
        <f>Total!E132</f>
        <v>0</v>
      </c>
      <c r="G11" s="23">
        <f>Total!F132</f>
        <v>0</v>
      </c>
      <c r="H11" s="23">
        <f>Total!G132</f>
        <v>0</v>
      </c>
      <c r="I11" s="23">
        <f>Total!H132</f>
        <v>0</v>
      </c>
      <c r="J11" s="23">
        <f>Total!I132</f>
        <v>0</v>
      </c>
      <c r="K11" s="23">
        <f>Total!J132</f>
        <v>0</v>
      </c>
      <c r="L11" s="23">
        <f>Total!K132</f>
        <v>0</v>
      </c>
      <c r="M11" s="24">
        <f>Total!L132</f>
        <v>0</v>
      </c>
      <c r="N11" s="24">
        <f>Total!M132</f>
        <v>0</v>
      </c>
      <c r="O11" s="24">
        <f>Total!N132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Total!B163</f>
        <v>0</v>
      </c>
      <c r="D12" s="12">
        <f>Total!C163</f>
        <v>0</v>
      </c>
      <c r="E12" s="12">
        <f>Total!D163</f>
        <v>0</v>
      </c>
      <c r="F12" s="12">
        <f>Total!E163</f>
        <v>0</v>
      </c>
      <c r="G12" s="23">
        <f>Total!F163</f>
        <v>0</v>
      </c>
      <c r="H12" s="23">
        <f>Total!G163</f>
        <v>0</v>
      </c>
      <c r="I12" s="23">
        <f>Total!H163</f>
        <v>0</v>
      </c>
      <c r="J12" s="23">
        <f>Total!I163</f>
        <v>0</v>
      </c>
      <c r="K12" s="23">
        <f>Total!J163</f>
        <v>0</v>
      </c>
      <c r="L12" s="23">
        <f>Total!K163</f>
        <v>0</v>
      </c>
      <c r="M12" s="24">
        <f>Total!L163</f>
        <v>0</v>
      </c>
      <c r="N12" s="24">
        <f>Total!M163</f>
        <v>0</v>
      </c>
      <c r="O12" s="24">
        <f>Total!N163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Total!B194</f>
        <v>0</v>
      </c>
      <c r="D13" s="12">
        <f>Total!C194</f>
        <v>0</v>
      </c>
      <c r="E13" s="12">
        <f>Total!D194</f>
        <v>0</v>
      </c>
      <c r="F13" s="12">
        <f>Total!E194</f>
        <v>0</v>
      </c>
      <c r="G13" s="23">
        <f>Total!F194</f>
        <v>0</v>
      </c>
      <c r="H13" s="23">
        <f>Total!G194</f>
        <v>0</v>
      </c>
      <c r="I13" s="23">
        <f>Total!H194</f>
        <v>0</v>
      </c>
      <c r="J13" s="23">
        <f>Total!I194</f>
        <v>0</v>
      </c>
      <c r="K13" s="23">
        <f>Total!J194</f>
        <v>0</v>
      </c>
      <c r="L13" s="23">
        <f>Total!K194</f>
        <v>0</v>
      </c>
      <c r="M13" s="24">
        <f>Total!L194</f>
        <v>0</v>
      </c>
      <c r="N13" s="24">
        <f>Total!M194</f>
        <v>0</v>
      </c>
      <c r="O13" s="24">
        <f>Total!N194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Total!B225</f>
        <v>0</v>
      </c>
      <c r="D14" s="12">
        <f>Total!C225</f>
        <v>0</v>
      </c>
      <c r="E14" s="12">
        <f>Total!D225</f>
        <v>0</v>
      </c>
      <c r="F14" s="12">
        <f>Total!E225</f>
        <v>0</v>
      </c>
      <c r="G14" s="23">
        <f>Total!F225</f>
        <v>0</v>
      </c>
      <c r="H14" s="23">
        <f>Total!G225</f>
        <v>0</v>
      </c>
      <c r="I14" s="23">
        <f>Total!H225</f>
        <v>0</v>
      </c>
      <c r="J14" s="23">
        <f>Total!I225</f>
        <v>0</v>
      </c>
      <c r="K14" s="23">
        <f>Total!J225</f>
        <v>0</v>
      </c>
      <c r="L14" s="23">
        <f>Total!K225</f>
        <v>0</v>
      </c>
      <c r="M14" s="24">
        <f>Total!L225</f>
        <v>0</v>
      </c>
      <c r="N14" s="24">
        <f>Total!M225</f>
        <v>0</v>
      </c>
      <c r="O14" s="24">
        <f>Total!N225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Total!B256</f>
        <v>0</v>
      </c>
      <c r="D15" s="12">
        <f>Total!C256</f>
        <v>0</v>
      </c>
      <c r="E15" s="12">
        <f>Total!D256</f>
        <v>0</v>
      </c>
      <c r="F15" s="12">
        <f>Total!E256</f>
        <v>0</v>
      </c>
      <c r="G15" s="23">
        <f>Total!F256</f>
        <v>0</v>
      </c>
      <c r="H15" s="23">
        <f>Total!G256</f>
        <v>0</v>
      </c>
      <c r="I15" s="23">
        <f>Total!H256</f>
        <v>0</v>
      </c>
      <c r="J15" s="23">
        <f>Total!I256</f>
        <v>0</v>
      </c>
      <c r="K15" s="23">
        <f>Total!J256</f>
        <v>0</v>
      </c>
      <c r="L15" s="23">
        <f>Total!K256</f>
        <v>0</v>
      </c>
      <c r="M15" s="24">
        <f>Total!L256</f>
        <v>0</v>
      </c>
      <c r="N15" s="24">
        <f>Total!M256</f>
        <v>0</v>
      </c>
      <c r="O15" s="24">
        <f>Total!N256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Total!B287</f>
        <v>0</v>
      </c>
      <c r="D16" s="12">
        <f>Total!C287</f>
        <v>0</v>
      </c>
      <c r="E16" s="12">
        <f>Total!D287</f>
        <v>0</v>
      </c>
      <c r="F16" s="12">
        <f>Total!E287</f>
        <v>0</v>
      </c>
      <c r="G16" s="23">
        <f>Total!F287</f>
        <v>0</v>
      </c>
      <c r="H16" s="23">
        <f>Total!G287</f>
        <v>0</v>
      </c>
      <c r="I16" s="23">
        <f>Total!H287</f>
        <v>0</v>
      </c>
      <c r="J16" s="23">
        <f>Total!I287</f>
        <v>0</v>
      </c>
      <c r="K16" s="23">
        <f>Total!J287</f>
        <v>0</v>
      </c>
      <c r="L16" s="23">
        <f>Total!K287</f>
        <v>0</v>
      </c>
      <c r="M16" s="24">
        <f>Total!L287</f>
        <v>0</v>
      </c>
      <c r="N16" s="24">
        <f>Total!M287</f>
        <v>0</v>
      </c>
      <c r="O16" s="24">
        <f>Total!N287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Total!B318</f>
        <v>0</v>
      </c>
      <c r="D17" s="12">
        <f>Total!C318</f>
        <v>0</v>
      </c>
      <c r="E17" s="12">
        <f>Total!D318</f>
        <v>0</v>
      </c>
      <c r="F17" s="12">
        <f>Total!E318</f>
        <v>0</v>
      </c>
      <c r="G17" s="23">
        <f>Total!F318</f>
        <v>0</v>
      </c>
      <c r="H17" s="23">
        <f>Total!G318</f>
        <v>0</v>
      </c>
      <c r="I17" s="23">
        <f>Total!H318</f>
        <v>0</v>
      </c>
      <c r="J17" s="23">
        <f>Total!I318</f>
        <v>0</v>
      </c>
      <c r="K17" s="23">
        <f>Total!J318</f>
        <v>0</v>
      </c>
      <c r="L17" s="23">
        <f>Total!K318</f>
        <v>0</v>
      </c>
      <c r="M17" s="24">
        <f>Total!L318</f>
        <v>0</v>
      </c>
      <c r="N17" s="24">
        <f>Total!M318</f>
        <v>0</v>
      </c>
      <c r="O17" s="24">
        <f>Total!N318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Total!B349</f>
        <v>0</v>
      </c>
      <c r="D18" s="12">
        <f>Total!C349</f>
        <v>0</v>
      </c>
      <c r="E18" s="12">
        <f>Total!D349</f>
        <v>0</v>
      </c>
      <c r="F18" s="12">
        <f>Total!E349</f>
        <v>0</v>
      </c>
      <c r="G18" s="23">
        <f>Total!F349</f>
        <v>0</v>
      </c>
      <c r="H18" s="23">
        <f>Total!G349</f>
        <v>0</v>
      </c>
      <c r="I18" s="23">
        <f>Total!H349</f>
        <v>0</v>
      </c>
      <c r="J18" s="23">
        <f>Total!I349</f>
        <v>0</v>
      </c>
      <c r="K18" s="23">
        <f>Total!J349</f>
        <v>0</v>
      </c>
      <c r="L18" s="23">
        <f>Total!K349</f>
        <v>0</v>
      </c>
      <c r="M18" s="24">
        <f>Total!L349</f>
        <v>0</v>
      </c>
      <c r="N18" s="24">
        <f>Total!M349</f>
        <v>0</v>
      </c>
      <c r="O18" s="24">
        <f>Total!N349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0</v>
      </c>
      <c r="D19" s="17">
        <f t="shared" si="0"/>
        <v>0</v>
      </c>
      <c r="E19" s="17">
        <f t="shared" si="0"/>
        <v>0</v>
      </c>
      <c r="F19" s="17">
        <f t="shared" si="0"/>
        <v>0</v>
      </c>
      <c r="G19" s="18">
        <f t="shared" si="0"/>
        <v>0</v>
      </c>
      <c r="H19" s="18">
        <f t="shared" si="0"/>
        <v>0</v>
      </c>
      <c r="I19" s="18">
        <f t="shared" si="0"/>
        <v>0</v>
      </c>
      <c r="J19" s="18">
        <f t="shared" si="0"/>
        <v>0</v>
      </c>
      <c r="K19" s="18">
        <f t="shared" si="0"/>
        <v>0</v>
      </c>
      <c r="L19" s="18">
        <f t="shared" si="0"/>
        <v>0</v>
      </c>
      <c r="M19" s="18">
        <f t="shared" si="0"/>
        <v>0</v>
      </c>
      <c r="N19" s="18">
        <f t="shared" si="0"/>
        <v>0</v>
      </c>
      <c r="O19" s="19">
        <f t="shared" si="0"/>
        <v>0</v>
      </c>
    </row>
    <row r="23" spans="1:15" x14ac:dyDescent="0.25">
      <c r="B23" t="s">
        <v>73</v>
      </c>
      <c r="C23" s="20"/>
      <c r="G23" s="20">
        <f>SUM(C19:E19)</f>
        <v>0</v>
      </c>
      <c r="H23" s="20">
        <f>G23-J4</f>
        <v>0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9055118110236221" right="0.51181102362204722" top="0.78740157480314965" bottom="0.78740157480314965" header="0.31496062992125978" footer="0.31496062992125978"/>
  <pageSetup paperSize="9" scale="80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8">
    <tabColor rgb="FFFF0000"/>
  </sheetPr>
  <dimension ref="A1:O23"/>
  <sheetViews>
    <sheetView workbookViewId="0">
      <selection activeCell="T14" sqref="T1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2" width="11.28515625" bestFit="1" customWidth="1"/>
    <col min="13" max="13" width="11.28515625" style="34" bestFit="1" customWidth="1"/>
    <col min="14" max="14" width="12.85546875" style="34" bestFit="1" customWidth="1"/>
    <col min="15" max="15" width="13.5703125" style="34" bestFit="1" customWidth="1"/>
  </cols>
  <sheetData>
    <row r="1" spans="1:15" ht="15.75" customHeight="1" x14ac:dyDescent="0.25">
      <c r="A1" s="198" t="s">
        <v>85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181"/>
      <c r="G4" s="6">
        <f>'[11]intern. diaria convenio'!$O$10</f>
        <v>0</v>
      </c>
      <c r="H4" s="210" t="s">
        <v>65</v>
      </c>
      <c r="I4" s="181"/>
      <c r="J4" s="3">
        <f>'[11]intern. diaria convenio'!$O$55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Total!B11</f>
        <v>0</v>
      </c>
      <c r="D7" s="12">
        <f>Total!C11</f>
        <v>0</v>
      </c>
      <c r="E7" s="12">
        <f>Total!D11</f>
        <v>0</v>
      </c>
      <c r="F7" s="12">
        <f>Total!E11</f>
        <v>0</v>
      </c>
      <c r="G7" s="23">
        <f>Total!F11</f>
        <v>23.74</v>
      </c>
      <c r="H7" s="23">
        <f>Total!G11</f>
        <v>331.11</v>
      </c>
      <c r="I7" s="23">
        <f>Total!H11</f>
        <v>573.45000000000005</v>
      </c>
      <c r="J7" s="23">
        <f>Total!I11</f>
        <v>373.45</v>
      </c>
      <c r="K7" s="23">
        <f>Total!J11</f>
        <v>0</v>
      </c>
      <c r="L7" s="23">
        <f>Total!K11</f>
        <v>0</v>
      </c>
      <c r="M7" s="39">
        <f>Total!L11</f>
        <v>597.19000000000005</v>
      </c>
      <c r="N7" s="39">
        <f>Total!M11</f>
        <v>704.56</v>
      </c>
      <c r="O7" s="39">
        <f>Total!N11</f>
        <v>107.36999999999989</v>
      </c>
    </row>
    <row r="8" spans="1:15" s="13" customFormat="1" ht="24.95" customHeight="1" x14ac:dyDescent="0.25">
      <c r="A8" s="188" t="s">
        <v>43</v>
      </c>
      <c r="B8" s="189"/>
      <c r="C8" s="12">
        <f>Total!B42</f>
        <v>0</v>
      </c>
      <c r="D8" s="12">
        <f>Total!C42</f>
        <v>0</v>
      </c>
      <c r="E8" s="12">
        <f>Total!D42</f>
        <v>0</v>
      </c>
      <c r="F8" s="12">
        <f>Total!E42</f>
        <v>0</v>
      </c>
      <c r="G8" s="23">
        <f>Total!F42</f>
        <v>0</v>
      </c>
      <c r="H8" s="23">
        <f>Total!G42</f>
        <v>0</v>
      </c>
      <c r="I8" s="23">
        <f>Total!H42</f>
        <v>0</v>
      </c>
      <c r="J8" s="23">
        <f>Total!I42</f>
        <v>0</v>
      </c>
      <c r="K8" s="23">
        <f>Total!J42</f>
        <v>0</v>
      </c>
      <c r="L8" s="23">
        <f>Total!K42</f>
        <v>0</v>
      </c>
      <c r="M8" s="39">
        <f>Total!L42</f>
        <v>0</v>
      </c>
      <c r="N8" s="39">
        <f>Total!M42</f>
        <v>0</v>
      </c>
      <c r="O8" s="39">
        <f>Total!N42</f>
        <v>0</v>
      </c>
    </row>
    <row r="9" spans="1:15" s="13" customFormat="1" ht="24.95" customHeight="1" x14ac:dyDescent="0.25">
      <c r="A9" s="188" t="s">
        <v>44</v>
      </c>
      <c r="B9" s="189"/>
      <c r="C9" s="12">
        <f>Total!B73</f>
        <v>0</v>
      </c>
      <c r="D9" s="12">
        <f>Total!C73</f>
        <v>0</v>
      </c>
      <c r="E9" s="12">
        <f>Total!D73</f>
        <v>0</v>
      </c>
      <c r="F9" s="12">
        <f>Total!E73</f>
        <v>0</v>
      </c>
      <c r="G9" s="23">
        <f>Total!F73</f>
        <v>0</v>
      </c>
      <c r="H9" s="23">
        <f>Total!G73</f>
        <v>0</v>
      </c>
      <c r="I9" s="23">
        <f>Total!H73</f>
        <v>0</v>
      </c>
      <c r="J9" s="23">
        <f>Total!I73</f>
        <v>0</v>
      </c>
      <c r="K9" s="23">
        <f>Total!J73</f>
        <v>0</v>
      </c>
      <c r="L9" s="23">
        <f>Total!K73</f>
        <v>0</v>
      </c>
      <c r="M9" s="39">
        <f>Total!L73</f>
        <v>0</v>
      </c>
      <c r="N9" s="39">
        <f>Total!M73</f>
        <v>0</v>
      </c>
      <c r="O9" s="39">
        <f>Total!N73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Total!B104</f>
        <v>0</v>
      </c>
      <c r="D10" s="12">
        <f>Total!C104</f>
        <v>0</v>
      </c>
      <c r="E10" s="12">
        <f>Total!D104</f>
        <v>0</v>
      </c>
      <c r="F10" s="12">
        <f>Total!E104</f>
        <v>0</v>
      </c>
      <c r="G10" s="23">
        <f>Total!F104</f>
        <v>0</v>
      </c>
      <c r="H10" s="23">
        <f>Total!G104</f>
        <v>0</v>
      </c>
      <c r="I10" s="23">
        <f>Total!H104</f>
        <v>0</v>
      </c>
      <c r="J10" s="23">
        <f>Total!I104</f>
        <v>0</v>
      </c>
      <c r="K10" s="23">
        <f>Total!J104</f>
        <v>0</v>
      </c>
      <c r="L10" s="23">
        <f>Total!K104</f>
        <v>0</v>
      </c>
      <c r="M10" s="39">
        <f>Total!L104</f>
        <v>0</v>
      </c>
      <c r="N10" s="39">
        <f>Total!M104</f>
        <v>0</v>
      </c>
      <c r="O10" s="39">
        <f>Total!N104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Total!B135</f>
        <v>0</v>
      </c>
      <c r="D11" s="12">
        <f>Total!C135</f>
        <v>0</v>
      </c>
      <c r="E11" s="12">
        <f>Total!D135</f>
        <v>0</v>
      </c>
      <c r="F11" s="12">
        <f>Total!E135</f>
        <v>0</v>
      </c>
      <c r="G11" s="23">
        <f>Total!F135</f>
        <v>0</v>
      </c>
      <c r="H11" s="23">
        <f>Total!G135</f>
        <v>0</v>
      </c>
      <c r="I11" s="23">
        <f>Total!H135</f>
        <v>0</v>
      </c>
      <c r="J11" s="23">
        <f>Total!I135</f>
        <v>0</v>
      </c>
      <c r="K11" s="23">
        <f>Total!J135</f>
        <v>0</v>
      </c>
      <c r="L11" s="23">
        <f>Total!K135</f>
        <v>0</v>
      </c>
      <c r="M11" s="39">
        <f>Total!L135</f>
        <v>0</v>
      </c>
      <c r="N11" s="39">
        <f>Total!M135</f>
        <v>0</v>
      </c>
      <c r="O11" s="39">
        <f>Total!N135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Total!B166</f>
        <v>0</v>
      </c>
      <c r="D12" s="12">
        <f>Total!C166</f>
        <v>0</v>
      </c>
      <c r="E12" s="12">
        <f>Total!D166</f>
        <v>0</v>
      </c>
      <c r="F12" s="12">
        <f>Total!E166</f>
        <v>0</v>
      </c>
      <c r="G12" s="23">
        <f>Total!F166</f>
        <v>7250.73</v>
      </c>
      <c r="H12" s="23">
        <f>Total!G166</f>
        <v>11508.58</v>
      </c>
      <c r="I12" s="23">
        <f>Total!H166</f>
        <v>5720</v>
      </c>
      <c r="J12" s="23">
        <f>Total!I166</f>
        <v>3994.85</v>
      </c>
      <c r="K12" s="23">
        <f>Total!J166</f>
        <v>7098.12</v>
      </c>
      <c r="L12" s="23">
        <f>Total!K166</f>
        <v>3158.9</v>
      </c>
      <c r="M12" s="39">
        <f>Total!L166</f>
        <v>20068.849999999999</v>
      </c>
      <c r="N12" s="39">
        <f>Total!M166</f>
        <v>18662.330000000002</v>
      </c>
      <c r="O12" s="39">
        <f>Total!N166</f>
        <v>-1406.5199999999968</v>
      </c>
    </row>
    <row r="13" spans="1:15" s="13" customFormat="1" ht="24.95" customHeight="1" x14ac:dyDescent="0.25">
      <c r="A13" s="188" t="s">
        <v>48</v>
      </c>
      <c r="B13" s="189"/>
      <c r="C13" s="12">
        <f>Total!B197</f>
        <v>0</v>
      </c>
      <c r="D13" s="12">
        <f>Total!C197</f>
        <v>0</v>
      </c>
      <c r="E13" s="12">
        <f>Total!D197</f>
        <v>0</v>
      </c>
      <c r="F13" s="12">
        <f>Total!E197</f>
        <v>0</v>
      </c>
      <c r="G13" s="23">
        <f>Total!F197</f>
        <v>0</v>
      </c>
      <c r="H13" s="23">
        <f>Total!G197</f>
        <v>0</v>
      </c>
      <c r="I13" s="23">
        <f>Total!H197</f>
        <v>0</v>
      </c>
      <c r="J13" s="23">
        <f>Total!I197</f>
        <v>0</v>
      </c>
      <c r="K13" s="23">
        <f>Total!J197</f>
        <v>0</v>
      </c>
      <c r="L13" s="23">
        <f>Total!K197</f>
        <v>0</v>
      </c>
      <c r="M13" s="39">
        <f>Total!L197</f>
        <v>0</v>
      </c>
      <c r="N13" s="39">
        <f>Total!M197</f>
        <v>0</v>
      </c>
      <c r="O13" s="39">
        <f>Total!N197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Total!B228</f>
        <v>4</v>
      </c>
      <c r="D14" s="12">
        <f>Total!C228</f>
        <v>0</v>
      </c>
      <c r="E14" s="12">
        <f>Total!D228</f>
        <v>0</v>
      </c>
      <c r="F14" s="12">
        <f>Total!E228</f>
        <v>0</v>
      </c>
      <c r="G14" s="23">
        <f>Total!F228</f>
        <v>0</v>
      </c>
      <c r="H14" s="23">
        <f>Total!G228</f>
        <v>0</v>
      </c>
      <c r="I14" s="23">
        <f>Total!H228</f>
        <v>0</v>
      </c>
      <c r="J14" s="23">
        <f>Total!I228</f>
        <v>0</v>
      </c>
      <c r="K14" s="23">
        <f>Total!J228</f>
        <v>0</v>
      </c>
      <c r="L14" s="23">
        <f>Total!K228</f>
        <v>0</v>
      </c>
      <c r="M14" s="39">
        <f>Total!L228</f>
        <v>0</v>
      </c>
      <c r="N14" s="39">
        <f>Total!M228</f>
        <v>0</v>
      </c>
      <c r="O14" s="39">
        <f>Total!N228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Total!B259</f>
        <v>1</v>
      </c>
      <c r="D15" s="12">
        <f>Total!C259</f>
        <v>0</v>
      </c>
      <c r="E15" s="12">
        <f>Total!D259</f>
        <v>0</v>
      </c>
      <c r="F15" s="12">
        <f>Total!E259</f>
        <v>0</v>
      </c>
      <c r="G15" s="23">
        <f>Total!F259</f>
        <v>0</v>
      </c>
      <c r="H15" s="23">
        <f>Total!G259</f>
        <v>0</v>
      </c>
      <c r="I15" s="23">
        <f>Total!H259</f>
        <v>0</v>
      </c>
      <c r="J15" s="23">
        <f>Total!I259</f>
        <v>0</v>
      </c>
      <c r="K15" s="23">
        <f>Total!J259</f>
        <v>0</v>
      </c>
      <c r="L15" s="23">
        <f>Total!K259</f>
        <v>0</v>
      </c>
      <c r="M15" s="39">
        <f>Total!L259</f>
        <v>0</v>
      </c>
      <c r="N15" s="39">
        <f>Total!M259</f>
        <v>0</v>
      </c>
      <c r="O15" s="39">
        <f>Total!N259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Total!B290</f>
        <v>19</v>
      </c>
      <c r="D16" s="12">
        <f>Total!C290</f>
        <v>0</v>
      </c>
      <c r="E16" s="12">
        <f>Total!D290</f>
        <v>2</v>
      </c>
      <c r="F16" s="12">
        <f>Total!E290</f>
        <v>0</v>
      </c>
      <c r="G16" s="23">
        <f>Total!F290</f>
        <v>0</v>
      </c>
      <c r="H16" s="23">
        <f>Total!G290</f>
        <v>0</v>
      </c>
      <c r="I16" s="23">
        <f>Total!H290</f>
        <v>0</v>
      </c>
      <c r="J16" s="23">
        <f>Total!I290</f>
        <v>0</v>
      </c>
      <c r="K16" s="23">
        <f>Total!J290</f>
        <v>0</v>
      </c>
      <c r="L16" s="23">
        <f>Total!K290</f>
        <v>0</v>
      </c>
      <c r="M16" s="39">
        <f>Total!L290</f>
        <v>0</v>
      </c>
      <c r="N16" s="39">
        <f>Total!M290</f>
        <v>0</v>
      </c>
      <c r="O16" s="39">
        <f>Total!N290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Total!B321</f>
        <v>9</v>
      </c>
      <c r="D17" s="12">
        <f>Total!C321</f>
        <v>0</v>
      </c>
      <c r="E17" s="12">
        <f>Total!D321</f>
        <v>2</v>
      </c>
      <c r="F17" s="12">
        <f>Total!E321</f>
        <v>3</v>
      </c>
      <c r="G17" s="23">
        <f>Total!F321</f>
        <v>0</v>
      </c>
      <c r="H17" s="23">
        <f>Total!G321</f>
        <v>0</v>
      </c>
      <c r="I17" s="23">
        <f>Total!H321</f>
        <v>0</v>
      </c>
      <c r="J17" s="23">
        <f>Total!I321</f>
        <v>0</v>
      </c>
      <c r="K17" s="23">
        <f>Total!J321</f>
        <v>0</v>
      </c>
      <c r="L17" s="23">
        <f>Total!K321</f>
        <v>0</v>
      </c>
      <c r="M17" s="39">
        <f>Total!L321</f>
        <v>0</v>
      </c>
      <c r="N17" s="39">
        <f>Total!M321</f>
        <v>0</v>
      </c>
      <c r="O17" s="39">
        <f>Total!N321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Total!B352</f>
        <v>0</v>
      </c>
      <c r="D18" s="12">
        <f>Total!C352</f>
        <v>0</v>
      </c>
      <c r="E18" s="12">
        <f>Total!D352</f>
        <v>0</v>
      </c>
      <c r="F18" s="12">
        <f>Total!E352</f>
        <v>0</v>
      </c>
      <c r="G18" s="23">
        <f>Total!F352</f>
        <v>0</v>
      </c>
      <c r="H18" s="23">
        <f>Total!G352</f>
        <v>0</v>
      </c>
      <c r="I18" s="23">
        <f>Total!H352</f>
        <v>0</v>
      </c>
      <c r="J18" s="23">
        <f>Total!I352</f>
        <v>0</v>
      </c>
      <c r="K18" s="23">
        <f>Total!J352</f>
        <v>0</v>
      </c>
      <c r="L18" s="23">
        <f>Total!K352</f>
        <v>0</v>
      </c>
      <c r="M18" s="39">
        <f>Total!L352</f>
        <v>0</v>
      </c>
      <c r="N18" s="39">
        <f>Total!M352</f>
        <v>0</v>
      </c>
      <c r="O18" s="39">
        <f>Total!N352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33</v>
      </c>
      <c r="D19" s="17">
        <f t="shared" si="0"/>
        <v>0</v>
      </c>
      <c r="E19" s="17">
        <f t="shared" si="0"/>
        <v>4</v>
      </c>
      <c r="F19" s="17">
        <f t="shared" si="0"/>
        <v>3</v>
      </c>
      <c r="G19" s="18">
        <f t="shared" si="0"/>
        <v>7274.4699999999993</v>
      </c>
      <c r="H19" s="18">
        <f t="shared" si="0"/>
        <v>11839.69</v>
      </c>
      <c r="I19" s="18">
        <f t="shared" si="0"/>
        <v>6293.45</v>
      </c>
      <c r="J19" s="18">
        <f t="shared" si="0"/>
        <v>4368.3</v>
      </c>
      <c r="K19" s="18">
        <f t="shared" si="0"/>
        <v>7098.12</v>
      </c>
      <c r="L19" s="18">
        <f t="shared" si="0"/>
        <v>3158.9</v>
      </c>
      <c r="M19" s="18">
        <f t="shared" si="0"/>
        <v>20666.039999999997</v>
      </c>
      <c r="N19" s="18">
        <f t="shared" si="0"/>
        <v>19366.890000000003</v>
      </c>
      <c r="O19" s="19">
        <f t="shared" si="0"/>
        <v>-1299.1499999999969</v>
      </c>
    </row>
    <row r="23" spans="1:15" x14ac:dyDescent="0.25">
      <c r="B23" t="s">
        <v>73</v>
      </c>
      <c r="C23" s="20"/>
      <c r="G23" s="20">
        <f>SUM(C19:E19)</f>
        <v>37</v>
      </c>
      <c r="H23" s="20">
        <f>G23-J4</f>
        <v>37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D4:F4"/>
    <mergeCell ref="A18:B18"/>
    <mergeCell ref="A12:B12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G5:H5"/>
    <mergeCell ref="I5:J5"/>
  </mergeCells>
  <pageMargins left="0.44" right="0.15" top="0.98425196850393704" bottom="0.98425196850393704" header="0.51181102362204722" footer="0.51181102362204722"/>
  <pageSetup paperSize="9" scale="90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9">
    <tabColor rgb="FFFF0000"/>
  </sheetPr>
  <dimension ref="A1:O23"/>
  <sheetViews>
    <sheetView workbookViewId="0">
      <selection activeCell="I5" sqref="I5:J5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85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'[11]intern. diaria convenio'!$O$16</f>
        <v>0</v>
      </c>
      <c r="H4" s="210" t="s">
        <v>65</v>
      </c>
      <c r="I4" s="181"/>
      <c r="J4" s="3">
        <f>'[11]intern. diaria convenio'!$O$61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Total!B12</f>
        <v>0</v>
      </c>
      <c r="D7" s="12">
        <f>Total!C12</f>
        <v>0</v>
      </c>
      <c r="E7" s="12">
        <f>Total!D12</f>
        <v>0</v>
      </c>
      <c r="F7" s="12">
        <f>Total!E12</f>
        <v>0</v>
      </c>
      <c r="G7" s="23">
        <f>Total!F12</f>
        <v>0</v>
      </c>
      <c r="H7" s="23">
        <f>Total!G12</f>
        <v>0</v>
      </c>
      <c r="I7" s="23">
        <f>Total!H12</f>
        <v>0</v>
      </c>
      <c r="J7" s="23">
        <f>Total!I12</f>
        <v>0</v>
      </c>
      <c r="K7" s="23">
        <f>Total!J12</f>
        <v>0</v>
      </c>
      <c r="L7" s="23">
        <f>Total!K12</f>
        <v>0</v>
      </c>
      <c r="M7" s="24">
        <f>Total!L12</f>
        <v>0</v>
      </c>
      <c r="N7" s="24">
        <f>Total!M12</f>
        <v>0</v>
      </c>
      <c r="O7" s="24">
        <f>Total!N12</f>
        <v>0</v>
      </c>
    </row>
    <row r="8" spans="1:15" s="13" customFormat="1" ht="24.95" customHeight="1" x14ac:dyDescent="0.25">
      <c r="A8" s="188" t="s">
        <v>43</v>
      </c>
      <c r="B8" s="189"/>
      <c r="C8" s="12">
        <f>Total!B43</f>
        <v>0</v>
      </c>
      <c r="D8" s="12">
        <f>Total!C43</f>
        <v>0</v>
      </c>
      <c r="E8" s="12">
        <f>Total!D43</f>
        <v>0</v>
      </c>
      <c r="F8" s="12">
        <f>Total!E43</f>
        <v>0</v>
      </c>
      <c r="G8" s="23">
        <f>Total!F43</f>
        <v>0</v>
      </c>
      <c r="H8" s="23">
        <f>Total!G43</f>
        <v>0</v>
      </c>
      <c r="I8" s="23">
        <f>Total!H43</f>
        <v>0</v>
      </c>
      <c r="J8" s="23">
        <f>Total!I43</f>
        <v>0</v>
      </c>
      <c r="K8" s="23">
        <f>Total!J43</f>
        <v>0</v>
      </c>
      <c r="L8" s="23">
        <f>Total!K43</f>
        <v>0</v>
      </c>
      <c r="M8" s="24">
        <f>Total!L43</f>
        <v>0</v>
      </c>
      <c r="N8" s="24">
        <f>Total!M43</f>
        <v>0</v>
      </c>
      <c r="O8" s="24">
        <f>Total!N43</f>
        <v>0</v>
      </c>
    </row>
    <row r="9" spans="1:15" s="13" customFormat="1" ht="24.95" customHeight="1" x14ac:dyDescent="0.25">
      <c r="A9" s="188" t="s">
        <v>44</v>
      </c>
      <c r="B9" s="189"/>
      <c r="C9" s="12">
        <f>Total!B74</f>
        <v>0</v>
      </c>
      <c r="D9" s="12">
        <f>Total!C74</f>
        <v>0</v>
      </c>
      <c r="E9" s="12">
        <f>Total!D74</f>
        <v>0</v>
      </c>
      <c r="F9" s="12">
        <f>Total!E74</f>
        <v>0</v>
      </c>
      <c r="G9" s="23">
        <f>Total!F74</f>
        <v>0</v>
      </c>
      <c r="H9" s="23">
        <f>Total!G74</f>
        <v>0</v>
      </c>
      <c r="I9" s="23">
        <f>Total!H74</f>
        <v>0</v>
      </c>
      <c r="J9" s="23">
        <f>Total!I74</f>
        <v>0</v>
      </c>
      <c r="K9" s="23">
        <f>Total!J74</f>
        <v>0</v>
      </c>
      <c r="L9" s="23">
        <f>Total!K74</f>
        <v>0</v>
      </c>
      <c r="M9" s="24">
        <f>Total!L74</f>
        <v>0</v>
      </c>
      <c r="N9" s="24">
        <f>Total!M74</f>
        <v>0</v>
      </c>
      <c r="O9" s="24">
        <f>Total!N74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Total!B105</f>
        <v>0</v>
      </c>
      <c r="D10" s="12">
        <f>Total!C105</f>
        <v>0</v>
      </c>
      <c r="E10" s="12">
        <f>Total!D105</f>
        <v>0</v>
      </c>
      <c r="F10" s="12">
        <f>Total!E105</f>
        <v>0</v>
      </c>
      <c r="G10" s="23">
        <f>Total!F105</f>
        <v>0</v>
      </c>
      <c r="H10" s="23">
        <f>Total!G105</f>
        <v>0</v>
      </c>
      <c r="I10" s="23">
        <f>Total!H105</f>
        <v>0</v>
      </c>
      <c r="J10" s="23">
        <f>Total!I105</f>
        <v>0</v>
      </c>
      <c r="K10" s="23">
        <f>Total!J105</f>
        <v>0</v>
      </c>
      <c r="L10" s="23">
        <f>Total!K105</f>
        <v>0</v>
      </c>
      <c r="M10" s="24">
        <f>Total!L105</f>
        <v>0</v>
      </c>
      <c r="N10" s="24">
        <f>Total!M105</f>
        <v>0</v>
      </c>
      <c r="O10" s="24">
        <f>Total!N105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Total!B136</f>
        <v>0</v>
      </c>
      <c r="D11" s="12">
        <f>Total!C136</f>
        <v>0</v>
      </c>
      <c r="E11" s="12">
        <f>Total!D136</f>
        <v>0</v>
      </c>
      <c r="F11" s="12">
        <f>Total!E136</f>
        <v>0</v>
      </c>
      <c r="G11" s="23">
        <f>Total!F136</f>
        <v>0</v>
      </c>
      <c r="H11" s="23">
        <f>Total!G136</f>
        <v>0</v>
      </c>
      <c r="I11" s="23">
        <f>Total!H136</f>
        <v>0</v>
      </c>
      <c r="J11" s="23">
        <f>Total!I136</f>
        <v>0</v>
      </c>
      <c r="K11" s="23">
        <f>Total!J136</f>
        <v>0</v>
      </c>
      <c r="L11" s="23">
        <f>Total!K136</f>
        <v>0</v>
      </c>
      <c r="M11" s="24">
        <f>Total!L136</f>
        <v>0</v>
      </c>
      <c r="N11" s="24">
        <f>Total!M136</f>
        <v>0</v>
      </c>
      <c r="O11" s="24">
        <f>Total!N136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Total!B167</f>
        <v>0</v>
      </c>
      <c r="D12" s="12">
        <f>Total!C167</f>
        <v>0</v>
      </c>
      <c r="E12" s="12">
        <f>Total!D167</f>
        <v>0</v>
      </c>
      <c r="F12" s="12">
        <f>Total!E167</f>
        <v>0</v>
      </c>
      <c r="G12" s="23">
        <f>Total!F167</f>
        <v>0</v>
      </c>
      <c r="H12" s="23">
        <f>Total!G167</f>
        <v>0</v>
      </c>
      <c r="I12" s="23">
        <f>Total!H167</f>
        <v>0</v>
      </c>
      <c r="J12" s="23">
        <f>Total!I167</f>
        <v>0</v>
      </c>
      <c r="K12" s="23">
        <f>Total!J167</f>
        <v>0</v>
      </c>
      <c r="L12" s="23">
        <f>Total!K167</f>
        <v>0</v>
      </c>
      <c r="M12" s="24">
        <f>Total!L167</f>
        <v>0</v>
      </c>
      <c r="N12" s="24">
        <f>Total!M167</f>
        <v>0</v>
      </c>
      <c r="O12" s="24">
        <f>Total!N167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Total!B198</f>
        <v>0</v>
      </c>
      <c r="D13" s="12">
        <f>Total!C198</f>
        <v>0</v>
      </c>
      <c r="E13" s="12">
        <f>Total!D198</f>
        <v>0</v>
      </c>
      <c r="F13" s="12">
        <f>Total!E198</f>
        <v>0</v>
      </c>
      <c r="G13" s="23">
        <f>Total!F198</f>
        <v>0</v>
      </c>
      <c r="H13" s="23">
        <f>Total!G198</f>
        <v>0</v>
      </c>
      <c r="I13" s="23">
        <f>Total!H198</f>
        <v>0</v>
      </c>
      <c r="J13" s="23">
        <f>Total!I198</f>
        <v>0</v>
      </c>
      <c r="K13" s="23">
        <f>Total!J198</f>
        <v>0</v>
      </c>
      <c r="L13" s="23">
        <f>Total!K198</f>
        <v>0</v>
      </c>
      <c r="M13" s="24">
        <f>Total!L198</f>
        <v>0</v>
      </c>
      <c r="N13" s="24">
        <f>Total!M198</f>
        <v>0</v>
      </c>
      <c r="O13" s="24">
        <f>Total!N198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Total!B229</f>
        <v>0</v>
      </c>
      <c r="D14" s="12">
        <f>Total!C229</f>
        <v>0</v>
      </c>
      <c r="E14" s="12">
        <f>Total!D229</f>
        <v>0</v>
      </c>
      <c r="F14" s="12">
        <f>Total!E229</f>
        <v>0</v>
      </c>
      <c r="G14" s="23">
        <f>Total!F229</f>
        <v>0</v>
      </c>
      <c r="H14" s="23">
        <f>Total!G229</f>
        <v>0</v>
      </c>
      <c r="I14" s="23">
        <f>Total!H229</f>
        <v>0</v>
      </c>
      <c r="J14" s="23">
        <f>Total!I229</f>
        <v>0</v>
      </c>
      <c r="K14" s="23">
        <f>Total!J229</f>
        <v>0</v>
      </c>
      <c r="L14" s="23">
        <f>Total!K229</f>
        <v>0</v>
      </c>
      <c r="M14" s="24">
        <f>Total!L229</f>
        <v>0</v>
      </c>
      <c r="N14" s="24">
        <f>Total!M229</f>
        <v>0</v>
      </c>
      <c r="O14" s="24">
        <f>Total!N229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Total!B260</f>
        <v>0</v>
      </c>
      <c r="D15" s="12">
        <f>Total!C260</f>
        <v>0</v>
      </c>
      <c r="E15" s="12">
        <f>Total!D260</f>
        <v>0</v>
      </c>
      <c r="F15" s="12">
        <f>Total!E260</f>
        <v>0</v>
      </c>
      <c r="G15" s="23">
        <f>Total!F260</f>
        <v>0</v>
      </c>
      <c r="H15" s="23">
        <f>Total!G260</f>
        <v>0</v>
      </c>
      <c r="I15" s="23">
        <f>Total!H260</f>
        <v>0</v>
      </c>
      <c r="J15" s="23">
        <f>Total!I260</f>
        <v>0</v>
      </c>
      <c r="K15" s="23">
        <f>Total!J260</f>
        <v>0</v>
      </c>
      <c r="L15" s="23">
        <f>Total!K260</f>
        <v>0</v>
      </c>
      <c r="M15" s="24">
        <f>Total!L260</f>
        <v>0</v>
      </c>
      <c r="N15" s="24">
        <f>Total!M260</f>
        <v>0</v>
      </c>
      <c r="O15" s="24">
        <f>Total!N260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Total!B291</f>
        <v>0</v>
      </c>
      <c r="D16" s="12">
        <f>Total!C291</f>
        <v>0</v>
      </c>
      <c r="E16" s="12">
        <f>Total!D291</f>
        <v>0</v>
      </c>
      <c r="F16" s="12">
        <f>Total!E291</f>
        <v>0</v>
      </c>
      <c r="G16" s="23">
        <f>Total!F291</f>
        <v>0</v>
      </c>
      <c r="H16" s="23">
        <f>Total!G291</f>
        <v>0</v>
      </c>
      <c r="I16" s="23">
        <f>Total!H291</f>
        <v>0</v>
      </c>
      <c r="J16" s="23">
        <f>Total!I291</f>
        <v>0</v>
      </c>
      <c r="K16" s="23">
        <f>Total!J291</f>
        <v>0</v>
      </c>
      <c r="L16" s="23">
        <f>Total!K291</f>
        <v>0</v>
      </c>
      <c r="M16" s="24">
        <f>Total!L291</f>
        <v>0</v>
      </c>
      <c r="N16" s="24">
        <f>Total!M291</f>
        <v>0</v>
      </c>
      <c r="O16" s="24">
        <f>Total!N291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Total!B322</f>
        <v>0</v>
      </c>
      <c r="D17" s="12">
        <f>Total!C322</f>
        <v>0</v>
      </c>
      <c r="E17" s="12">
        <f>Total!D322</f>
        <v>0</v>
      </c>
      <c r="F17" s="12">
        <f>Total!E322</f>
        <v>0</v>
      </c>
      <c r="G17" s="23">
        <f>Total!F322</f>
        <v>0</v>
      </c>
      <c r="H17" s="23">
        <f>Total!G322</f>
        <v>0</v>
      </c>
      <c r="I17" s="23">
        <f>Total!H322</f>
        <v>0</v>
      </c>
      <c r="J17" s="23">
        <f>Total!I322</f>
        <v>0</v>
      </c>
      <c r="K17" s="23">
        <f>Total!J322</f>
        <v>0</v>
      </c>
      <c r="L17" s="23">
        <f>Total!K322</f>
        <v>0</v>
      </c>
      <c r="M17" s="24">
        <f>Total!L322</f>
        <v>0</v>
      </c>
      <c r="N17" s="24">
        <f>Total!M322</f>
        <v>0</v>
      </c>
      <c r="O17" s="24">
        <f>Total!N322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Total!B353</f>
        <v>0</v>
      </c>
      <c r="D18" s="12">
        <f>Total!C353</f>
        <v>0</v>
      </c>
      <c r="E18" s="12">
        <f>Total!D353</f>
        <v>0</v>
      </c>
      <c r="F18" s="12">
        <f>Total!E353</f>
        <v>0</v>
      </c>
      <c r="G18" s="23">
        <f>Total!F353</f>
        <v>0</v>
      </c>
      <c r="H18" s="23">
        <f>Total!G353</f>
        <v>0</v>
      </c>
      <c r="I18" s="23">
        <f>Total!H353</f>
        <v>0</v>
      </c>
      <c r="J18" s="23">
        <f>Total!I353</f>
        <v>0</v>
      </c>
      <c r="K18" s="23">
        <f>Total!J353</f>
        <v>0</v>
      </c>
      <c r="L18" s="23">
        <f>Total!K353</f>
        <v>0</v>
      </c>
      <c r="M18" s="24">
        <f>Total!L353</f>
        <v>0</v>
      </c>
      <c r="N18" s="24">
        <f>Total!M353</f>
        <v>0</v>
      </c>
      <c r="O18" s="24">
        <f>Total!N353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0</v>
      </c>
      <c r="D19" s="17">
        <f t="shared" si="0"/>
        <v>0</v>
      </c>
      <c r="E19" s="17">
        <f t="shared" si="0"/>
        <v>0</v>
      </c>
      <c r="F19" s="17">
        <f t="shared" si="0"/>
        <v>0</v>
      </c>
      <c r="G19" s="18">
        <f t="shared" si="0"/>
        <v>0</v>
      </c>
      <c r="H19" s="18">
        <f t="shared" si="0"/>
        <v>0</v>
      </c>
      <c r="I19" s="18">
        <f t="shared" si="0"/>
        <v>0</v>
      </c>
      <c r="J19" s="18">
        <f t="shared" si="0"/>
        <v>0</v>
      </c>
      <c r="K19" s="18">
        <f t="shared" si="0"/>
        <v>0</v>
      </c>
      <c r="L19" s="18">
        <f t="shared" si="0"/>
        <v>0</v>
      </c>
      <c r="M19" s="18">
        <f t="shared" si="0"/>
        <v>0</v>
      </c>
      <c r="N19" s="18">
        <f t="shared" si="0"/>
        <v>0</v>
      </c>
      <c r="O19" s="19">
        <f t="shared" si="0"/>
        <v>0</v>
      </c>
    </row>
    <row r="23" spans="1:15" x14ac:dyDescent="0.25">
      <c r="C23" s="20"/>
      <c r="G23" s="20"/>
      <c r="H23" s="20"/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98425196850393704" right="0.78740157480314965" top="0.98425196850393704" bottom="0.98425196850393704" header="0.51181102362204722" footer="0.51181102362204722"/>
  <pageSetup paperSize="9" scale="80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13">
    <tabColor rgb="FFFF0000"/>
  </sheetPr>
  <dimension ref="A1:O23"/>
  <sheetViews>
    <sheetView workbookViewId="0">
      <selection activeCell="J4" sqref="J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85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'[11]intern. diaria convenio'!$O$19</f>
        <v>0</v>
      </c>
      <c r="H4" s="210" t="s">
        <v>65</v>
      </c>
      <c r="I4" s="181"/>
      <c r="J4" s="3">
        <f>'[11]intern. diaria convenio'!$O$64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Total!B16</f>
        <v>0</v>
      </c>
      <c r="D7" s="12">
        <f>Total!C16</f>
        <v>0</v>
      </c>
      <c r="E7" s="12">
        <f>Total!D16</f>
        <v>0</v>
      </c>
      <c r="F7" s="44">
        <f>Total!E16</f>
        <v>0</v>
      </c>
      <c r="G7" s="15">
        <f>Total!F16</f>
        <v>8805.24</v>
      </c>
      <c r="H7" s="15">
        <f>Total!G16</f>
        <v>36537.54</v>
      </c>
      <c r="I7" s="15">
        <f>Total!H16</f>
        <v>13104.25</v>
      </c>
      <c r="J7" s="15">
        <f>Total!I16</f>
        <v>7874.28</v>
      </c>
      <c r="K7" s="15">
        <f>Total!J16</f>
        <v>887.92</v>
      </c>
      <c r="L7" s="15">
        <f>Total!K16</f>
        <v>1181.32</v>
      </c>
      <c r="M7" s="26">
        <f>Total!L16</f>
        <v>22797.409999999996</v>
      </c>
      <c r="N7" s="26">
        <f>Total!M16</f>
        <v>45593.14</v>
      </c>
      <c r="O7" s="26">
        <f>Total!N16</f>
        <v>22795.730000000003</v>
      </c>
    </row>
    <row r="8" spans="1:15" s="13" customFormat="1" ht="24.95" customHeight="1" x14ac:dyDescent="0.25">
      <c r="A8" s="188" t="s">
        <v>43</v>
      </c>
      <c r="B8" s="189"/>
      <c r="C8" s="12">
        <f>Total!B47</f>
        <v>0</v>
      </c>
      <c r="D8" s="12">
        <f>Total!C47</f>
        <v>0</v>
      </c>
      <c r="E8" s="12">
        <f>Total!D47</f>
        <v>0</v>
      </c>
      <c r="F8" s="42">
        <f>Total!E47</f>
        <v>0</v>
      </c>
      <c r="G8" s="15">
        <f>Total!F47</f>
        <v>779212.78</v>
      </c>
      <c r="H8" s="15">
        <f>Total!G47</f>
        <v>40250.57</v>
      </c>
      <c r="I8" s="15">
        <f>Total!H47</f>
        <v>14243.75</v>
      </c>
      <c r="J8" s="15">
        <f>Total!I47</f>
        <v>8559</v>
      </c>
      <c r="K8" s="15">
        <f>Total!J47</f>
        <v>18525.28</v>
      </c>
      <c r="L8" s="15">
        <f>Total!K47</f>
        <v>5771.86</v>
      </c>
      <c r="M8" s="26">
        <f>Total!L47</f>
        <v>811981.81</v>
      </c>
      <c r="N8" s="26">
        <f>Total!M47</f>
        <v>54581.43</v>
      </c>
      <c r="O8" s="26">
        <f>Total!N47</f>
        <v>-757400.38</v>
      </c>
    </row>
    <row r="9" spans="1:15" s="13" customFormat="1" ht="24.95" customHeight="1" x14ac:dyDescent="0.25">
      <c r="A9" s="188" t="s">
        <v>44</v>
      </c>
      <c r="B9" s="189"/>
      <c r="C9" s="12">
        <f>Total!B78</f>
        <v>0</v>
      </c>
      <c r="D9" s="12">
        <f>Total!C78</f>
        <v>0</v>
      </c>
      <c r="E9" s="12">
        <f>Total!D78</f>
        <v>0</v>
      </c>
      <c r="F9" s="42">
        <f>Total!E78</f>
        <v>0</v>
      </c>
      <c r="G9" s="15">
        <f>Total!F78</f>
        <v>192760.64</v>
      </c>
      <c r="H9" s="15">
        <f>Total!G78</f>
        <v>70379.69</v>
      </c>
      <c r="I9" s="15">
        <f>Total!H78</f>
        <v>23929.5</v>
      </c>
      <c r="J9" s="15">
        <f>Total!I78</f>
        <v>14379.12</v>
      </c>
      <c r="K9" s="15">
        <f>Total!J78</f>
        <v>14893.2</v>
      </c>
      <c r="L9" s="15">
        <f>Total!K78</f>
        <v>4978.71</v>
      </c>
      <c r="M9" s="26">
        <f>Total!L78</f>
        <v>231583.34000000003</v>
      </c>
      <c r="N9" s="26">
        <f>Total!M78</f>
        <v>89737.52</v>
      </c>
      <c r="O9" s="26">
        <f>Total!N78</f>
        <v>-141845.82</v>
      </c>
    </row>
    <row r="10" spans="1:15" s="13" customFormat="1" ht="24.95" customHeight="1" x14ac:dyDescent="0.25">
      <c r="A10" s="188" t="s">
        <v>45</v>
      </c>
      <c r="B10" s="189"/>
      <c r="C10" s="12">
        <f>Total!B109</f>
        <v>0</v>
      </c>
      <c r="D10" s="12">
        <f>Total!C109</f>
        <v>0</v>
      </c>
      <c r="E10" s="12">
        <f>Total!D109</f>
        <v>0</v>
      </c>
      <c r="F10" s="42">
        <f>Total!E109</f>
        <v>0</v>
      </c>
      <c r="G10" s="15">
        <f>Total!F109</f>
        <v>47020.6</v>
      </c>
      <c r="H10" s="15">
        <f>Total!G109</f>
        <v>57419.67</v>
      </c>
      <c r="I10" s="15">
        <f>Total!H109</f>
        <v>25596.75</v>
      </c>
      <c r="J10" s="15">
        <f>Total!I109</f>
        <v>15777.16</v>
      </c>
      <c r="K10" s="15">
        <f>Total!J109</f>
        <v>5042.82</v>
      </c>
      <c r="L10" s="15">
        <f>Total!K109</f>
        <v>1282.31</v>
      </c>
      <c r="M10" s="26">
        <f>Total!L109</f>
        <v>77660.170000000013</v>
      </c>
      <c r="N10" s="26">
        <f>Total!M109</f>
        <v>74479.14</v>
      </c>
      <c r="O10" s="26">
        <f>Total!N109</f>
        <v>-3181.0300000000134</v>
      </c>
    </row>
    <row r="11" spans="1:15" s="13" customFormat="1" ht="24.95" customHeight="1" x14ac:dyDescent="0.25">
      <c r="A11" s="188" t="s">
        <v>46</v>
      </c>
      <c r="B11" s="189"/>
      <c r="C11" s="12">
        <f>Total!B140</f>
        <v>0</v>
      </c>
      <c r="D11" s="12">
        <f>Total!C140</f>
        <v>0</v>
      </c>
      <c r="E11" s="12">
        <f>Total!D140</f>
        <v>0</v>
      </c>
      <c r="F11" s="42">
        <f>Total!E140</f>
        <v>0</v>
      </c>
      <c r="G11" s="15">
        <f>Total!F140</f>
        <v>877414.25</v>
      </c>
      <c r="H11" s="15">
        <f>Total!G140</f>
        <v>78411.67</v>
      </c>
      <c r="I11" s="15">
        <f>Total!H140</f>
        <v>29627</v>
      </c>
      <c r="J11" s="15">
        <f>Total!I140</f>
        <v>17607.240000000002</v>
      </c>
      <c r="K11" s="15">
        <f>Total!J140</f>
        <v>22805</v>
      </c>
      <c r="L11" s="15">
        <f>Total!K140</f>
        <v>6814.77</v>
      </c>
      <c r="M11" s="26">
        <f>Total!L140</f>
        <v>929846.25</v>
      </c>
      <c r="N11" s="26">
        <f>Total!M140</f>
        <v>102833.68000000001</v>
      </c>
      <c r="O11" s="26">
        <f>Total!N140</f>
        <v>-827012.57</v>
      </c>
    </row>
    <row r="12" spans="1:15" s="13" customFormat="1" ht="24.95" customHeight="1" x14ac:dyDescent="0.25">
      <c r="A12" s="188" t="s">
        <v>47</v>
      </c>
      <c r="B12" s="189"/>
      <c r="C12" s="12">
        <f>Total!B171</f>
        <v>0</v>
      </c>
      <c r="D12" s="12">
        <f>Total!C171</f>
        <v>0</v>
      </c>
      <c r="E12" s="12">
        <f>Total!D171</f>
        <v>0</v>
      </c>
      <c r="F12" s="42">
        <f>Total!E171</f>
        <v>0</v>
      </c>
      <c r="G12" s="15">
        <f>Total!F171</f>
        <v>385.1</v>
      </c>
      <c r="H12" s="15">
        <f>Total!G171</f>
        <v>4340.38</v>
      </c>
      <c r="I12" s="15">
        <f>Total!H171</f>
        <v>4558</v>
      </c>
      <c r="J12" s="15">
        <f>Total!I171</f>
        <v>3087.48</v>
      </c>
      <c r="K12" s="15">
        <f>Total!J171</f>
        <v>4296.28</v>
      </c>
      <c r="L12" s="15">
        <f>Total!K171</f>
        <v>1238.8</v>
      </c>
      <c r="M12" s="26">
        <f>Total!L171</f>
        <v>9239.380000000001</v>
      </c>
      <c r="N12" s="26">
        <f>Total!M171</f>
        <v>8666.66</v>
      </c>
      <c r="O12" s="26">
        <f>Total!N171</f>
        <v>-572.72000000000116</v>
      </c>
    </row>
    <row r="13" spans="1:15" s="13" customFormat="1" ht="24.95" customHeight="1" x14ac:dyDescent="0.25">
      <c r="A13" s="188" t="s">
        <v>48</v>
      </c>
      <c r="B13" s="189"/>
      <c r="C13" s="12">
        <f>Total!B202</f>
        <v>1</v>
      </c>
      <c r="D13" s="12">
        <f>Total!C202</f>
        <v>0</v>
      </c>
      <c r="E13" s="12">
        <f>Total!D202</f>
        <v>0</v>
      </c>
      <c r="F13" s="42">
        <f>Total!E202</f>
        <v>0</v>
      </c>
      <c r="G13" s="15">
        <f>Total!F202</f>
        <v>0</v>
      </c>
      <c r="H13" s="15">
        <f>Total!G202</f>
        <v>0</v>
      </c>
      <c r="I13" s="15">
        <f>Total!H202</f>
        <v>0</v>
      </c>
      <c r="J13" s="15">
        <f>Total!I202</f>
        <v>0</v>
      </c>
      <c r="K13" s="15">
        <f>Total!J202</f>
        <v>0</v>
      </c>
      <c r="L13" s="15">
        <f>Total!K202</f>
        <v>0</v>
      </c>
      <c r="M13" s="26">
        <f>Total!L202</f>
        <v>0</v>
      </c>
      <c r="N13" s="26">
        <f>Total!M202</f>
        <v>0</v>
      </c>
      <c r="O13" s="26">
        <f>Total!N202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Total!B233</f>
        <v>45</v>
      </c>
      <c r="D14" s="12">
        <f>Total!C233</f>
        <v>0</v>
      </c>
      <c r="E14" s="12">
        <f>Total!D233</f>
        <v>3</v>
      </c>
      <c r="F14" s="42">
        <f>Total!E233</f>
        <v>0</v>
      </c>
      <c r="G14" s="15">
        <f>Total!F233</f>
        <v>0</v>
      </c>
      <c r="H14" s="15">
        <f>Total!G233</f>
        <v>0</v>
      </c>
      <c r="I14" s="15">
        <f>Total!H233</f>
        <v>0</v>
      </c>
      <c r="J14" s="15">
        <f>Total!I233</f>
        <v>0</v>
      </c>
      <c r="K14" s="15">
        <f>Total!J233</f>
        <v>0</v>
      </c>
      <c r="L14" s="15">
        <f>Total!K233</f>
        <v>0</v>
      </c>
      <c r="M14" s="26">
        <f>Total!L233</f>
        <v>0</v>
      </c>
      <c r="N14" s="26">
        <f>Total!M233</f>
        <v>0</v>
      </c>
      <c r="O14" s="26">
        <f>Total!N233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Total!B264</f>
        <v>16</v>
      </c>
      <c r="D15" s="12">
        <f>Total!C264</f>
        <v>3</v>
      </c>
      <c r="E15" s="12">
        <f>Total!D264</f>
        <v>0</v>
      </c>
      <c r="F15" s="42">
        <f>Total!E264</f>
        <v>0</v>
      </c>
      <c r="G15" s="15">
        <f>Total!F264</f>
        <v>0</v>
      </c>
      <c r="H15" s="15">
        <f>Total!G264</f>
        <v>0</v>
      </c>
      <c r="I15" s="15">
        <f>Total!H264</f>
        <v>0</v>
      </c>
      <c r="J15" s="15">
        <f>Total!I264</f>
        <v>0</v>
      </c>
      <c r="K15" s="15">
        <f>Total!J264</f>
        <v>0</v>
      </c>
      <c r="L15" s="15">
        <f>Total!K264</f>
        <v>0</v>
      </c>
      <c r="M15" s="26">
        <f>Total!L264</f>
        <v>0</v>
      </c>
      <c r="N15" s="26">
        <f>Total!M264</f>
        <v>0</v>
      </c>
      <c r="O15" s="26">
        <f>Total!N264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Total!B295</f>
        <v>9</v>
      </c>
      <c r="D16" s="12">
        <f>Total!C295</f>
        <v>0</v>
      </c>
      <c r="E16" s="12">
        <f>Total!D295</f>
        <v>0</v>
      </c>
      <c r="F16" s="42">
        <f>Total!E295</f>
        <v>0</v>
      </c>
      <c r="G16" s="15">
        <f>Total!F295</f>
        <v>0</v>
      </c>
      <c r="H16" s="15">
        <f>Total!G295</f>
        <v>0</v>
      </c>
      <c r="I16" s="15">
        <f>Total!H295</f>
        <v>0</v>
      </c>
      <c r="J16" s="15">
        <f>Total!I295</f>
        <v>0</v>
      </c>
      <c r="K16" s="15">
        <f>Total!J295</f>
        <v>0</v>
      </c>
      <c r="L16" s="15">
        <f>Total!K295</f>
        <v>0</v>
      </c>
      <c r="M16" s="26">
        <f>Total!L295</f>
        <v>0</v>
      </c>
      <c r="N16" s="26">
        <f>Total!M295</f>
        <v>0</v>
      </c>
      <c r="O16" s="26">
        <f>Total!N295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Total!B326</f>
        <v>14</v>
      </c>
      <c r="D17" s="12">
        <f>Total!C326</f>
        <v>0</v>
      </c>
      <c r="E17" s="12">
        <f>Total!D326</f>
        <v>0</v>
      </c>
      <c r="F17" s="42">
        <f>Total!E326</f>
        <v>0</v>
      </c>
      <c r="G17" s="15">
        <f>Total!F326</f>
        <v>0</v>
      </c>
      <c r="H17" s="15">
        <f>Total!G326</f>
        <v>0</v>
      </c>
      <c r="I17" s="15">
        <f>Total!H326</f>
        <v>0</v>
      </c>
      <c r="J17" s="15">
        <f>Total!I326</f>
        <v>0</v>
      </c>
      <c r="K17" s="15">
        <f>Total!J326</f>
        <v>0</v>
      </c>
      <c r="L17" s="15">
        <f>Total!K326</f>
        <v>0</v>
      </c>
      <c r="M17" s="26">
        <f>Total!L326</f>
        <v>0</v>
      </c>
      <c r="N17" s="26">
        <f>Total!M326</f>
        <v>0</v>
      </c>
      <c r="O17" s="26">
        <f>Total!N326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Total!B357</f>
        <v>0</v>
      </c>
      <c r="D18" s="12">
        <f>Total!C357</f>
        <v>0</v>
      </c>
      <c r="E18" s="12">
        <f>Total!D357</f>
        <v>0</v>
      </c>
      <c r="F18" s="43">
        <f>Total!E357</f>
        <v>0</v>
      </c>
      <c r="G18" s="15">
        <f>Total!F357</f>
        <v>0</v>
      </c>
      <c r="H18" s="15">
        <f>Total!G357</f>
        <v>0</v>
      </c>
      <c r="I18" s="15">
        <f>Total!H357</f>
        <v>0</v>
      </c>
      <c r="J18" s="15">
        <f>Total!I357</f>
        <v>0</v>
      </c>
      <c r="K18" s="15">
        <f>Total!J357</f>
        <v>0</v>
      </c>
      <c r="L18" s="15">
        <f>Total!K357</f>
        <v>0</v>
      </c>
      <c r="M18" s="26">
        <f>Total!L357</f>
        <v>0</v>
      </c>
      <c r="N18" s="26">
        <f>Total!M357</f>
        <v>0</v>
      </c>
      <c r="O18" s="26">
        <f>Total!N357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85</v>
      </c>
      <c r="D19" s="17">
        <f t="shared" si="0"/>
        <v>3</v>
      </c>
      <c r="E19" s="17">
        <f t="shared" si="0"/>
        <v>3</v>
      </c>
      <c r="F19" s="17">
        <f t="shared" si="0"/>
        <v>0</v>
      </c>
      <c r="G19" s="18">
        <f t="shared" si="0"/>
        <v>1905598.61</v>
      </c>
      <c r="H19" s="18">
        <f t="shared" si="0"/>
        <v>287339.51999999996</v>
      </c>
      <c r="I19" s="18">
        <f t="shared" si="0"/>
        <v>111059.25</v>
      </c>
      <c r="J19" s="18">
        <f t="shared" si="0"/>
        <v>67284.28</v>
      </c>
      <c r="K19" s="18">
        <f t="shared" si="0"/>
        <v>66450.5</v>
      </c>
      <c r="L19" s="18">
        <f t="shared" si="0"/>
        <v>21267.77</v>
      </c>
      <c r="M19" s="18">
        <f t="shared" si="0"/>
        <v>2083108.3599999999</v>
      </c>
      <c r="N19" s="18">
        <f t="shared" si="0"/>
        <v>375891.57</v>
      </c>
      <c r="O19" s="19">
        <f t="shared" si="0"/>
        <v>-1707216.7899999998</v>
      </c>
    </row>
    <row r="23" spans="1:15" x14ac:dyDescent="0.25">
      <c r="B23" t="s">
        <v>73</v>
      </c>
      <c r="C23" s="20"/>
      <c r="G23" s="20">
        <f>SUM(C19:E19)</f>
        <v>91</v>
      </c>
      <c r="H23" s="20">
        <f>G23-J4</f>
        <v>91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35433070866141742" right="0.23622047244094491" top="0.98425196850393704" bottom="0.98425196850393704" header="0.51181102362204722" footer="0.51181102362204722"/>
  <pageSetup paperSize="9" scale="90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15">
    <tabColor rgb="FFFF0000"/>
  </sheetPr>
  <dimension ref="A1:O23"/>
  <sheetViews>
    <sheetView workbookViewId="0">
      <selection sqref="A1:O1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2" width="11.28515625" bestFit="1" customWidth="1"/>
    <col min="13" max="13" width="11.28515625" style="34" bestFit="1" customWidth="1"/>
    <col min="14" max="14" width="12.85546875" style="34" bestFit="1" customWidth="1"/>
    <col min="15" max="15" width="13.5703125" style="34" bestFit="1" customWidth="1"/>
  </cols>
  <sheetData>
    <row r="1" spans="1:15" ht="15.75" customHeight="1" x14ac:dyDescent="0.25">
      <c r="A1" s="198" t="s">
        <v>85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37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'[11]intern. diaria convenio'!$O$21</f>
        <v>0</v>
      </c>
      <c r="H4" s="210" t="s">
        <v>65</v>
      </c>
      <c r="I4" s="181"/>
      <c r="J4" s="3">
        <f>'[11]intern. diaria convenio'!$O$66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Total!B18</f>
        <v>0</v>
      </c>
      <c r="D7" s="12">
        <f>Total!C18</f>
        <v>0</v>
      </c>
      <c r="E7" s="12">
        <f>Total!D18</f>
        <v>0</v>
      </c>
      <c r="F7" s="12">
        <f>Total!E18</f>
        <v>0</v>
      </c>
      <c r="G7" s="25">
        <f>Total!F18</f>
        <v>563440.48</v>
      </c>
      <c r="H7" s="25">
        <f>Total!G18</f>
        <v>99896.3</v>
      </c>
      <c r="I7" s="25">
        <f>Total!H18</f>
        <v>467905.76</v>
      </c>
      <c r="J7" s="25">
        <f>Total!I18</f>
        <v>647539.13</v>
      </c>
      <c r="K7" s="25">
        <f>Total!J18</f>
        <v>49155.33</v>
      </c>
      <c r="L7" s="25">
        <f>Total!K18</f>
        <v>37808.160000000003</v>
      </c>
      <c r="M7" s="38">
        <f>Total!L18</f>
        <v>1080501.57</v>
      </c>
      <c r="N7" s="38">
        <f>Total!M18</f>
        <v>785243.59000000008</v>
      </c>
      <c r="O7" s="38">
        <f>Total!N18</f>
        <v>-295257.98</v>
      </c>
    </row>
    <row r="8" spans="1:15" s="13" customFormat="1" ht="24.95" customHeight="1" x14ac:dyDescent="0.25">
      <c r="A8" s="188" t="s">
        <v>43</v>
      </c>
      <c r="B8" s="189"/>
      <c r="C8" s="12">
        <f>Total!B49</f>
        <v>0</v>
      </c>
      <c r="D8" s="12">
        <f>Total!C49</f>
        <v>0</v>
      </c>
      <c r="E8" s="12">
        <f>Total!D49</f>
        <v>0</v>
      </c>
      <c r="F8" s="12">
        <f>Total!E49</f>
        <v>0</v>
      </c>
      <c r="G8" s="25">
        <f>Total!F49</f>
        <v>545586.35</v>
      </c>
      <c r="H8" s="25">
        <f>Total!G49</f>
        <v>73954.880000000005</v>
      </c>
      <c r="I8" s="25">
        <f>Total!H49</f>
        <v>314713.11</v>
      </c>
      <c r="J8" s="25">
        <f>Total!I49</f>
        <v>445611.5</v>
      </c>
      <c r="K8" s="25">
        <f>Total!J49</f>
        <v>36842.800000000003</v>
      </c>
      <c r="L8" s="25">
        <f>Total!K49</f>
        <v>30101.97</v>
      </c>
      <c r="M8" s="38">
        <f>Total!L49</f>
        <v>897142.26</v>
      </c>
      <c r="N8" s="38">
        <f>Total!M49</f>
        <v>549668.35</v>
      </c>
      <c r="O8" s="38">
        <f>Total!N49</f>
        <v>-347473.91000000003</v>
      </c>
    </row>
    <row r="9" spans="1:15" s="13" customFormat="1" ht="24.95" customHeight="1" x14ac:dyDescent="0.25">
      <c r="A9" s="188" t="s">
        <v>44</v>
      </c>
      <c r="B9" s="189"/>
      <c r="C9" s="12">
        <f>Total!B80</f>
        <v>0</v>
      </c>
      <c r="D9" s="12">
        <f>Total!C80</f>
        <v>0</v>
      </c>
      <c r="E9" s="12">
        <f>Total!D80</f>
        <v>0</v>
      </c>
      <c r="F9" s="12">
        <f>Total!E80</f>
        <v>0</v>
      </c>
      <c r="G9" s="25">
        <f>Total!F80</f>
        <v>554286.54</v>
      </c>
      <c r="H9" s="25">
        <f>Total!G80</f>
        <v>195849.51</v>
      </c>
      <c r="I9" s="25">
        <f>Total!H80</f>
        <v>402539.84</v>
      </c>
      <c r="J9" s="25">
        <f>Total!I80</f>
        <v>547531.13</v>
      </c>
      <c r="K9" s="25">
        <f>Total!J80</f>
        <v>41276.519999999997</v>
      </c>
      <c r="L9" s="25">
        <f>Total!K80</f>
        <v>33686.76</v>
      </c>
      <c r="M9" s="38">
        <f>Total!L80</f>
        <v>998102.90000000014</v>
      </c>
      <c r="N9" s="38">
        <f>Total!M80</f>
        <v>777067.4</v>
      </c>
      <c r="O9" s="38">
        <f>Total!N80</f>
        <v>-221035.50000000012</v>
      </c>
    </row>
    <row r="10" spans="1:15" s="13" customFormat="1" ht="24.95" customHeight="1" x14ac:dyDescent="0.25">
      <c r="A10" s="188" t="s">
        <v>45</v>
      </c>
      <c r="B10" s="189"/>
      <c r="C10" s="12" t="e">
        <f>Total!#REF!</f>
        <v>#REF!</v>
      </c>
      <c r="D10" s="12" t="e">
        <f>Total!#REF!</f>
        <v>#REF!</v>
      </c>
      <c r="E10" s="12" t="e">
        <f>Total!#REF!</f>
        <v>#REF!</v>
      </c>
      <c r="F10" s="12" t="e">
        <f>Total!#REF!</f>
        <v>#REF!</v>
      </c>
      <c r="G10" s="25">
        <f>Total!F111</f>
        <v>1413750.45</v>
      </c>
      <c r="H10" s="25">
        <f>Total!G111</f>
        <v>145202.76</v>
      </c>
      <c r="I10" s="25">
        <f>Total!H111</f>
        <v>343048.23</v>
      </c>
      <c r="J10" s="25">
        <f>Total!I111</f>
        <v>468464.05</v>
      </c>
      <c r="K10" s="25">
        <f>Total!J111</f>
        <v>57229.68</v>
      </c>
      <c r="L10" s="25">
        <f>Total!K111</f>
        <v>43268.93</v>
      </c>
      <c r="M10" s="38">
        <f>Total!L111</f>
        <v>1814028.3599999999</v>
      </c>
      <c r="N10" s="38">
        <f>Total!M111</f>
        <v>656935.74000000011</v>
      </c>
      <c r="O10" s="38">
        <f>Total!N111</f>
        <v>-1157092.6199999996</v>
      </c>
    </row>
    <row r="11" spans="1:15" s="13" customFormat="1" ht="24.95" customHeight="1" x14ac:dyDescent="0.25">
      <c r="A11" s="188" t="s">
        <v>46</v>
      </c>
      <c r="B11" s="189"/>
      <c r="C11" s="12">
        <f>Total!B142</f>
        <v>0</v>
      </c>
      <c r="D11" s="12">
        <f>Total!C142</f>
        <v>0</v>
      </c>
      <c r="E11" s="12">
        <f>Total!D142</f>
        <v>0</v>
      </c>
      <c r="F11" s="12">
        <f>Total!E142</f>
        <v>0</v>
      </c>
      <c r="G11" s="25">
        <f>Total!F142</f>
        <v>1317970.93</v>
      </c>
      <c r="H11" s="25">
        <f>Total!G142</f>
        <v>137213.29</v>
      </c>
      <c r="I11" s="25">
        <f>Total!H142</f>
        <v>389939.27</v>
      </c>
      <c r="J11" s="25">
        <f>Total!I142</f>
        <v>536530.80000000005</v>
      </c>
      <c r="K11" s="25">
        <f>Total!J142</f>
        <v>40832.559999999998</v>
      </c>
      <c r="L11" s="25">
        <f>Total!K142</f>
        <v>34752.29</v>
      </c>
      <c r="M11" s="38">
        <f>Total!L142</f>
        <v>1748742.76</v>
      </c>
      <c r="N11" s="38">
        <f>Total!M142</f>
        <v>708496.38000000012</v>
      </c>
      <c r="O11" s="38">
        <f>Total!N142</f>
        <v>-1040246.3799999999</v>
      </c>
    </row>
    <row r="12" spans="1:15" s="13" customFormat="1" ht="24.95" customHeight="1" x14ac:dyDescent="0.25">
      <c r="A12" s="188" t="s">
        <v>47</v>
      </c>
      <c r="B12" s="189"/>
      <c r="C12" s="12">
        <f>Total!B173</f>
        <v>0</v>
      </c>
      <c r="D12" s="12">
        <f>Total!C173</f>
        <v>0</v>
      </c>
      <c r="E12" s="12">
        <f>Total!D173</f>
        <v>0</v>
      </c>
      <c r="F12" s="12">
        <f>Total!E173</f>
        <v>0</v>
      </c>
      <c r="G12" s="25">
        <f>Total!F173</f>
        <v>1228342.56</v>
      </c>
      <c r="H12" s="25">
        <f>Total!G173</f>
        <v>124274</v>
      </c>
      <c r="I12" s="25">
        <f>Total!H173</f>
        <v>321770.75</v>
      </c>
      <c r="J12" s="25">
        <f>Total!I173</f>
        <v>439108.02</v>
      </c>
      <c r="K12" s="25">
        <f>Total!J173</f>
        <v>42602.52</v>
      </c>
      <c r="L12" s="25">
        <f>Total!K173</f>
        <v>32330.25</v>
      </c>
      <c r="M12" s="38">
        <f>Total!L173</f>
        <v>1592715.83</v>
      </c>
      <c r="N12" s="38">
        <f>Total!M173</f>
        <v>595712.27</v>
      </c>
      <c r="O12" s="38">
        <f>Total!N173</f>
        <v>-997003.56</v>
      </c>
    </row>
    <row r="13" spans="1:15" s="13" customFormat="1" ht="24.95" customHeight="1" x14ac:dyDescent="0.25">
      <c r="A13" s="188" t="s">
        <v>48</v>
      </c>
      <c r="B13" s="189"/>
      <c r="C13" s="12">
        <f>Total!B204</f>
        <v>579</v>
      </c>
      <c r="D13" s="12">
        <f>Total!C204</f>
        <v>109</v>
      </c>
      <c r="E13" s="12">
        <f>Total!D204</f>
        <v>19</v>
      </c>
      <c r="F13" s="12">
        <f>Total!E204</f>
        <v>33</v>
      </c>
      <c r="G13" s="25">
        <f>Total!F204</f>
        <v>0</v>
      </c>
      <c r="H13" s="25">
        <f>Total!G204</f>
        <v>0</v>
      </c>
      <c r="I13" s="25">
        <f>Total!H204</f>
        <v>0</v>
      </c>
      <c r="J13" s="25">
        <f>Total!I204</f>
        <v>0</v>
      </c>
      <c r="K13" s="25">
        <f>Total!J204</f>
        <v>0</v>
      </c>
      <c r="L13" s="25">
        <f>Total!K204</f>
        <v>0</v>
      </c>
      <c r="M13" s="38">
        <f>Total!L204</f>
        <v>0</v>
      </c>
      <c r="N13" s="38">
        <f>Total!M204</f>
        <v>0</v>
      </c>
      <c r="O13" s="38">
        <f>Total!N204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Total!B235</f>
        <v>484</v>
      </c>
      <c r="D14" s="12">
        <f>Total!C235</f>
        <v>163</v>
      </c>
      <c r="E14" s="12">
        <f>Total!D235</f>
        <v>41</v>
      </c>
      <c r="F14" s="12">
        <f>Total!E235</f>
        <v>33</v>
      </c>
      <c r="G14" s="25">
        <f>Total!F235</f>
        <v>0</v>
      </c>
      <c r="H14" s="25">
        <f>Total!G235</f>
        <v>0</v>
      </c>
      <c r="I14" s="25">
        <f>Total!H235</f>
        <v>0</v>
      </c>
      <c r="J14" s="25">
        <f>Total!I235</f>
        <v>0</v>
      </c>
      <c r="K14" s="25">
        <f>Total!J235</f>
        <v>0</v>
      </c>
      <c r="L14" s="25">
        <f>Total!K235</f>
        <v>0</v>
      </c>
      <c r="M14" s="38">
        <f>Total!L235</f>
        <v>0</v>
      </c>
      <c r="N14" s="38">
        <f>Total!M235</f>
        <v>0</v>
      </c>
      <c r="O14" s="38">
        <f>Total!N235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Total!B266</f>
        <v>412</v>
      </c>
      <c r="D15" s="12">
        <f>Total!C266</f>
        <v>136</v>
      </c>
      <c r="E15" s="12">
        <f>Total!D266</f>
        <v>23</v>
      </c>
      <c r="F15" s="12">
        <f>Total!E266</f>
        <v>21</v>
      </c>
      <c r="G15" s="25">
        <f>Total!F266</f>
        <v>0</v>
      </c>
      <c r="H15" s="25">
        <f>Total!G266</f>
        <v>0</v>
      </c>
      <c r="I15" s="25">
        <f>Total!H266</f>
        <v>0</v>
      </c>
      <c r="J15" s="25">
        <f>Total!I266</f>
        <v>0</v>
      </c>
      <c r="K15" s="25">
        <f>Total!J266</f>
        <v>0</v>
      </c>
      <c r="L15" s="25">
        <f>Total!K266</f>
        <v>0</v>
      </c>
      <c r="M15" s="38">
        <f>Total!L266</f>
        <v>0</v>
      </c>
      <c r="N15" s="38">
        <f>Total!M266</f>
        <v>0</v>
      </c>
      <c r="O15" s="38">
        <f>Total!N266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Total!B297</f>
        <v>519</v>
      </c>
      <c r="D16" s="12">
        <f>Total!C297</f>
        <v>113</v>
      </c>
      <c r="E16" s="12">
        <f>Total!D297</f>
        <v>25</v>
      </c>
      <c r="F16" s="12">
        <f>Total!E297</f>
        <v>16</v>
      </c>
      <c r="G16" s="25">
        <f>Total!F297</f>
        <v>0</v>
      </c>
      <c r="H16" s="25">
        <f>Total!G297</f>
        <v>0</v>
      </c>
      <c r="I16" s="25">
        <f>Total!H297</f>
        <v>0</v>
      </c>
      <c r="J16" s="25">
        <f>Total!I297</f>
        <v>0</v>
      </c>
      <c r="K16" s="25">
        <f>Total!J297</f>
        <v>0</v>
      </c>
      <c r="L16" s="25">
        <f>Total!K297</f>
        <v>0</v>
      </c>
      <c r="M16" s="38">
        <f>Total!L297</f>
        <v>0</v>
      </c>
      <c r="N16" s="38">
        <f>Total!M297</f>
        <v>0</v>
      </c>
      <c r="O16" s="38">
        <f>Total!N297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Total!B328</f>
        <v>364</v>
      </c>
      <c r="D17" s="12">
        <f>Total!C328</f>
        <v>106</v>
      </c>
      <c r="E17" s="12">
        <f>Total!D328</f>
        <v>52</v>
      </c>
      <c r="F17" s="12">
        <f>Total!E328</f>
        <v>4</v>
      </c>
      <c r="G17" s="25">
        <f>Total!F328</f>
        <v>0</v>
      </c>
      <c r="H17" s="25">
        <f>Total!G328</f>
        <v>0</v>
      </c>
      <c r="I17" s="25">
        <f>Total!H328</f>
        <v>0</v>
      </c>
      <c r="J17" s="25">
        <f>Total!I328</f>
        <v>0</v>
      </c>
      <c r="K17" s="25">
        <f>Total!J328</f>
        <v>0</v>
      </c>
      <c r="L17" s="25">
        <f>Total!K328</f>
        <v>0</v>
      </c>
      <c r="M17" s="38">
        <f>Total!L328</f>
        <v>0</v>
      </c>
      <c r="N17" s="38">
        <f>Total!M328</f>
        <v>0</v>
      </c>
      <c r="O17" s="38">
        <f>Total!N328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Total!B359</f>
        <v>0</v>
      </c>
      <c r="D18" s="12">
        <f>Total!C359</f>
        <v>0</v>
      </c>
      <c r="E18" s="12">
        <f>Total!D359</f>
        <v>0</v>
      </c>
      <c r="F18" s="12">
        <f>Total!E359</f>
        <v>0</v>
      </c>
      <c r="G18" s="25">
        <f>Total!F359</f>
        <v>0</v>
      </c>
      <c r="H18" s="25">
        <f>Total!G359</f>
        <v>0</v>
      </c>
      <c r="I18" s="25">
        <f>Total!H359</f>
        <v>0</v>
      </c>
      <c r="J18" s="25">
        <f>Total!I359</f>
        <v>0</v>
      </c>
      <c r="K18" s="25">
        <f>Total!J359</f>
        <v>0</v>
      </c>
      <c r="L18" s="25">
        <f>Total!K359</f>
        <v>0</v>
      </c>
      <c r="M18" s="38">
        <f>Total!L359</f>
        <v>0</v>
      </c>
      <c r="N18" s="38">
        <f>Total!M359</f>
        <v>0</v>
      </c>
      <c r="O18" s="38">
        <f>Total!N359</f>
        <v>0</v>
      </c>
    </row>
    <row r="19" spans="1:15" s="13" customFormat="1" ht="24.95" customHeight="1" thickBot="1" x14ac:dyDescent="0.3">
      <c r="A19" s="195" t="s">
        <v>72</v>
      </c>
      <c r="B19" s="187"/>
      <c r="C19" s="17" t="e">
        <f t="shared" ref="C19:O19" si="0">SUM(C7:C18)</f>
        <v>#REF!</v>
      </c>
      <c r="D19" s="17" t="e">
        <f t="shared" si="0"/>
        <v>#REF!</v>
      </c>
      <c r="E19" s="17" t="e">
        <f t="shared" si="0"/>
        <v>#REF!</v>
      </c>
      <c r="F19" s="17" t="e">
        <f t="shared" si="0"/>
        <v>#REF!</v>
      </c>
      <c r="G19" s="49">
        <f t="shared" si="0"/>
        <v>5623377.3100000005</v>
      </c>
      <c r="H19" s="49">
        <f t="shared" si="0"/>
        <v>776390.74</v>
      </c>
      <c r="I19" s="49">
        <f t="shared" si="0"/>
        <v>2239916.96</v>
      </c>
      <c r="J19" s="49">
        <f t="shared" si="0"/>
        <v>3084784.6299999994</v>
      </c>
      <c r="K19" s="49">
        <f t="shared" si="0"/>
        <v>267939.40999999997</v>
      </c>
      <c r="L19" s="49">
        <f t="shared" si="0"/>
        <v>211948.36000000002</v>
      </c>
      <c r="M19" s="49">
        <f t="shared" si="0"/>
        <v>8131233.6799999997</v>
      </c>
      <c r="N19" s="49">
        <f t="shared" si="0"/>
        <v>4073123.73</v>
      </c>
      <c r="O19" s="49">
        <f t="shared" si="0"/>
        <v>-4058109.9499999997</v>
      </c>
    </row>
    <row r="23" spans="1:15" x14ac:dyDescent="0.25">
      <c r="C23" s="20"/>
      <c r="G23" s="20"/>
      <c r="H23" s="20"/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35433070866141742" right="0.2" top="0.98425196850393704" bottom="0.98425196850393704" header="0.51181102362204722" footer="0.51181102362204722"/>
  <pageSetup paperSize="9" scale="90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18">
    <tabColor rgb="FFFF0000"/>
  </sheetPr>
  <dimension ref="A1:O23"/>
  <sheetViews>
    <sheetView workbookViewId="0">
      <selection activeCell="F4" sqref="F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85546875" customWidth="1"/>
  </cols>
  <sheetData>
    <row r="1" spans="1:15" ht="15.75" customHeight="1" x14ac:dyDescent="0.25">
      <c r="A1" s="198" t="s">
        <v>84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31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3">
        <f>'[11]intern. diaria convenio'!$O$24</f>
        <v>0</v>
      </c>
      <c r="G4" s="6"/>
      <c r="H4" s="210" t="s">
        <v>65</v>
      </c>
      <c r="I4" s="181"/>
      <c r="J4" s="3">
        <f>'[11]intern. diaria convenio'!$O$69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Total!B21</f>
        <v>0</v>
      </c>
      <c r="D7" s="12">
        <f>Total!C21</f>
        <v>0</v>
      </c>
      <c r="E7" s="12">
        <f>Total!D21</f>
        <v>0</v>
      </c>
      <c r="F7" s="45">
        <f>Total!E21</f>
        <v>0</v>
      </c>
      <c r="G7" s="50">
        <f>Total!F21</f>
        <v>22149.98</v>
      </c>
      <c r="H7" s="25">
        <f>Total!G21</f>
        <v>49385.02</v>
      </c>
      <c r="I7" s="25">
        <f>Total!H21</f>
        <v>31881.200000000001</v>
      </c>
      <c r="J7" s="25">
        <f>Total!I21</f>
        <v>23571</v>
      </c>
      <c r="K7" s="25">
        <f>Total!J21</f>
        <v>34291.550000000003</v>
      </c>
      <c r="L7" s="25">
        <f>Total!K21</f>
        <v>32294.95</v>
      </c>
      <c r="M7" s="25">
        <f>Total!L21</f>
        <v>88322.73000000001</v>
      </c>
      <c r="N7" s="25">
        <f>Total!M21</f>
        <v>105250.96999999999</v>
      </c>
      <c r="O7" s="25">
        <f>Total!N21</f>
        <v>16928.239999999976</v>
      </c>
    </row>
    <row r="8" spans="1:15" s="13" customFormat="1" ht="24.95" customHeight="1" x14ac:dyDescent="0.25">
      <c r="A8" s="188" t="s">
        <v>43</v>
      </c>
      <c r="B8" s="189"/>
      <c r="C8" s="12">
        <f>Total!B52</f>
        <v>0</v>
      </c>
      <c r="D8" s="12">
        <f>Total!C52</f>
        <v>0</v>
      </c>
      <c r="E8" s="12">
        <f>Total!D52</f>
        <v>0</v>
      </c>
      <c r="F8" s="45">
        <f>Total!E52</f>
        <v>0</v>
      </c>
      <c r="G8" s="51">
        <f>Total!F52</f>
        <v>41605.85</v>
      </c>
      <c r="H8" s="25">
        <f>Total!G52</f>
        <v>19228.78</v>
      </c>
      <c r="I8" s="25">
        <f>Total!H52</f>
        <v>24397.35</v>
      </c>
      <c r="J8" s="25">
        <f>Total!I52</f>
        <v>18054</v>
      </c>
      <c r="K8" s="25">
        <f>Total!J52</f>
        <v>9029.7900000000009</v>
      </c>
      <c r="L8" s="25">
        <f>Total!K52</f>
        <v>14398.96</v>
      </c>
      <c r="M8" s="25">
        <f>Total!L52</f>
        <v>75032.989999999991</v>
      </c>
      <c r="N8" s="25">
        <f>Total!M52</f>
        <v>51681.74</v>
      </c>
      <c r="O8" s="25">
        <f>Total!N52</f>
        <v>-23351.249999999993</v>
      </c>
    </row>
    <row r="9" spans="1:15" s="13" customFormat="1" ht="24.95" customHeight="1" x14ac:dyDescent="0.25">
      <c r="A9" s="188" t="s">
        <v>44</v>
      </c>
      <c r="B9" s="189"/>
      <c r="C9" s="12">
        <f>Total!B83</f>
        <v>0</v>
      </c>
      <c r="D9" s="12">
        <f>Total!C83</f>
        <v>0</v>
      </c>
      <c r="E9" s="12">
        <f>Total!D83</f>
        <v>0</v>
      </c>
      <c r="F9" s="45">
        <f>Total!E83</f>
        <v>0</v>
      </c>
      <c r="G9" s="51">
        <f>Total!F83</f>
        <v>21200.04</v>
      </c>
      <c r="H9" s="25">
        <f>Total!G83</f>
        <v>67059.070000000007</v>
      </c>
      <c r="I9" s="25">
        <f>Total!H83</f>
        <v>58977.25</v>
      </c>
      <c r="J9" s="25">
        <f>Total!I83</f>
        <v>46173</v>
      </c>
      <c r="K9" s="25">
        <f>Total!J83</f>
        <v>20237.009999999998</v>
      </c>
      <c r="L9" s="25">
        <f>Total!K83</f>
        <v>36170.92</v>
      </c>
      <c r="M9" s="25">
        <f>Total!L83</f>
        <v>100414.3</v>
      </c>
      <c r="N9" s="25">
        <f>Total!M83</f>
        <v>149402.99</v>
      </c>
      <c r="O9" s="25">
        <f>Total!N83</f>
        <v>48988.689999999988</v>
      </c>
    </row>
    <row r="10" spans="1:15" s="13" customFormat="1" ht="24.95" customHeight="1" x14ac:dyDescent="0.25">
      <c r="A10" s="188" t="s">
        <v>45</v>
      </c>
      <c r="B10" s="189"/>
      <c r="C10" s="12">
        <f>Total!B114</f>
        <v>0</v>
      </c>
      <c r="D10" s="12">
        <f>Total!C114</f>
        <v>0</v>
      </c>
      <c r="E10" s="12">
        <f>Total!D114</f>
        <v>0</v>
      </c>
      <c r="F10" s="45">
        <f>Total!E114</f>
        <v>0</v>
      </c>
      <c r="G10" s="51">
        <f>Total!F114</f>
        <v>32249.99</v>
      </c>
      <c r="H10" s="25">
        <f>Total!G114</f>
        <v>86052.08</v>
      </c>
      <c r="I10" s="25">
        <f>Total!H114</f>
        <v>38276.199999999997</v>
      </c>
      <c r="J10" s="25">
        <f>Total!I114</f>
        <v>33730</v>
      </c>
      <c r="K10" s="25">
        <f>Total!J114</f>
        <v>18150.84</v>
      </c>
      <c r="L10" s="25">
        <f>Total!K114</f>
        <v>58425.54</v>
      </c>
      <c r="M10" s="25">
        <f>Total!L114</f>
        <v>88677.03</v>
      </c>
      <c r="N10" s="25">
        <f>Total!M114</f>
        <v>178207.62</v>
      </c>
      <c r="O10" s="25">
        <f>Total!N114</f>
        <v>89530.59</v>
      </c>
    </row>
    <row r="11" spans="1:15" s="13" customFormat="1" ht="24.95" customHeight="1" x14ac:dyDescent="0.25">
      <c r="A11" s="188" t="s">
        <v>46</v>
      </c>
      <c r="B11" s="189"/>
      <c r="C11" s="12">
        <f>Total!B145</f>
        <v>0</v>
      </c>
      <c r="D11" s="12">
        <f>Total!C145</f>
        <v>0</v>
      </c>
      <c r="E11" s="12">
        <f>Total!D145</f>
        <v>0</v>
      </c>
      <c r="F11" s="45">
        <f>Total!E145</f>
        <v>0</v>
      </c>
      <c r="G11" s="51">
        <f>Total!F145</f>
        <v>2831835.23</v>
      </c>
      <c r="H11" s="40">
        <f>Total!G145</f>
        <v>90222.88</v>
      </c>
      <c r="I11" s="40">
        <f>Total!H145</f>
        <v>67866.59</v>
      </c>
      <c r="J11" s="40">
        <f>Total!I145</f>
        <v>59523</v>
      </c>
      <c r="K11" s="40">
        <f>Total!J145</f>
        <v>28561.22</v>
      </c>
      <c r="L11" s="40">
        <f>Total!K145</f>
        <v>48687.83</v>
      </c>
      <c r="M11" s="37">
        <f>Total!L145</f>
        <v>2928263.04</v>
      </c>
      <c r="N11" s="37">
        <f>Total!M145</f>
        <v>198433.71000000002</v>
      </c>
      <c r="O11" s="37">
        <f>Total!N145</f>
        <v>-2729829.33</v>
      </c>
    </row>
    <row r="12" spans="1:15" s="13" customFormat="1" ht="24.95" customHeight="1" x14ac:dyDescent="0.25">
      <c r="A12" s="188" t="s">
        <v>47</v>
      </c>
      <c r="B12" s="189"/>
      <c r="C12" s="12">
        <f>Total!B176</f>
        <v>0</v>
      </c>
      <c r="D12" s="12">
        <f>Total!C176</f>
        <v>0</v>
      </c>
      <c r="E12" s="12">
        <f>Total!D176</f>
        <v>0</v>
      </c>
      <c r="F12" s="45">
        <f>Total!E176</f>
        <v>0</v>
      </c>
      <c r="G12" s="51">
        <f>Total!F176</f>
        <v>30730.76</v>
      </c>
      <c r="H12" s="25">
        <f>Total!G176</f>
        <v>35229.870000000003</v>
      </c>
      <c r="I12" s="25">
        <f>Total!H176</f>
        <v>22633.5</v>
      </c>
      <c r="J12" s="25">
        <f>Total!I176</f>
        <v>19445</v>
      </c>
      <c r="K12" s="25">
        <f>Total!J176</f>
        <v>5789.14</v>
      </c>
      <c r="L12" s="25">
        <f>Total!K176</f>
        <v>12337.35</v>
      </c>
      <c r="M12" s="25">
        <f>Total!L176</f>
        <v>59153.399999999994</v>
      </c>
      <c r="N12" s="25">
        <f>Total!M176</f>
        <v>67012.22</v>
      </c>
      <c r="O12" s="25">
        <f>Total!N176</f>
        <v>7858.820000000007</v>
      </c>
    </row>
    <row r="13" spans="1:15" s="13" customFormat="1" ht="24.95" customHeight="1" x14ac:dyDescent="0.25">
      <c r="A13" s="188" t="s">
        <v>48</v>
      </c>
      <c r="B13" s="189"/>
      <c r="C13" s="12">
        <f>Total!B207</f>
        <v>41</v>
      </c>
      <c r="D13" s="12">
        <f>Total!C207</f>
        <v>3</v>
      </c>
      <c r="E13" s="12">
        <f>Total!D207</f>
        <v>6</v>
      </c>
      <c r="F13" s="45">
        <f>Total!E207</f>
        <v>2</v>
      </c>
      <c r="G13" s="51">
        <f>Total!F207</f>
        <v>0</v>
      </c>
      <c r="H13" s="25">
        <f>Total!G207</f>
        <v>0</v>
      </c>
      <c r="I13" s="25">
        <f>Total!H207</f>
        <v>0</v>
      </c>
      <c r="J13" s="25">
        <f>Total!I207</f>
        <v>0</v>
      </c>
      <c r="K13" s="25">
        <f>Total!J207</f>
        <v>0</v>
      </c>
      <c r="L13" s="25">
        <f>Total!K207</f>
        <v>0</v>
      </c>
      <c r="M13" s="25">
        <f>Total!L207</f>
        <v>0</v>
      </c>
      <c r="N13" s="25">
        <f>Total!M207</f>
        <v>0</v>
      </c>
      <c r="O13" s="25">
        <f>Total!N207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Total!B238</f>
        <v>67</v>
      </c>
      <c r="D14" s="12">
        <f>Total!C238</f>
        <v>14</v>
      </c>
      <c r="E14" s="12">
        <f>Total!D238</f>
        <v>0</v>
      </c>
      <c r="F14" s="12">
        <f>Total!E238</f>
        <v>1</v>
      </c>
      <c r="G14" s="51">
        <f>Total!F238</f>
        <v>0</v>
      </c>
      <c r="H14" s="25">
        <f>Total!G238</f>
        <v>0</v>
      </c>
      <c r="I14" s="25">
        <f>Total!H238</f>
        <v>0</v>
      </c>
      <c r="J14" s="25">
        <f>Total!I238</f>
        <v>0</v>
      </c>
      <c r="K14" s="25">
        <f>Total!J238</f>
        <v>0</v>
      </c>
      <c r="L14" s="25">
        <f>Total!K238</f>
        <v>0</v>
      </c>
      <c r="M14" s="25">
        <f>Total!L238</f>
        <v>0</v>
      </c>
      <c r="N14" s="25">
        <f>Total!M238</f>
        <v>0</v>
      </c>
      <c r="O14" s="25">
        <f>Total!N238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Total!B269</f>
        <v>49</v>
      </c>
      <c r="D15" s="12">
        <f>Total!C269</f>
        <v>2</v>
      </c>
      <c r="E15" s="12">
        <f>Total!D269</f>
        <v>0</v>
      </c>
      <c r="F15" s="12">
        <f>Total!E269</f>
        <v>1</v>
      </c>
      <c r="G15" s="25">
        <f>Total!F269</f>
        <v>0</v>
      </c>
      <c r="H15" s="25">
        <f>Total!G269</f>
        <v>0</v>
      </c>
      <c r="I15" s="25">
        <f>Total!H269</f>
        <v>0</v>
      </c>
      <c r="J15" s="25">
        <f>Total!I269</f>
        <v>0</v>
      </c>
      <c r="K15" s="25">
        <f>Total!J269</f>
        <v>0</v>
      </c>
      <c r="L15" s="25">
        <f>Total!K269</f>
        <v>0</v>
      </c>
      <c r="M15" s="25">
        <f>Total!L269</f>
        <v>0</v>
      </c>
      <c r="N15" s="25">
        <f>Total!M269</f>
        <v>0</v>
      </c>
      <c r="O15" s="25">
        <f>Total!N269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Total!B300</f>
        <v>34</v>
      </c>
      <c r="D16" s="12">
        <f>Total!C300</f>
        <v>6</v>
      </c>
      <c r="E16" s="12">
        <f>Total!D300</f>
        <v>0</v>
      </c>
      <c r="F16" s="12">
        <f>Total!E300</f>
        <v>2</v>
      </c>
      <c r="G16" s="25">
        <f>Total!F300</f>
        <v>0</v>
      </c>
      <c r="H16" s="25">
        <f>Total!G300</f>
        <v>0</v>
      </c>
      <c r="I16" s="25">
        <f>Total!H300</f>
        <v>0</v>
      </c>
      <c r="J16" s="25">
        <f>Total!I300</f>
        <v>0</v>
      </c>
      <c r="K16" s="25">
        <f>Total!J300</f>
        <v>0</v>
      </c>
      <c r="L16" s="25">
        <f>Total!K300</f>
        <v>0</v>
      </c>
      <c r="M16" s="25">
        <f>Total!L300</f>
        <v>0</v>
      </c>
      <c r="N16" s="25">
        <f>Total!M300</f>
        <v>0</v>
      </c>
      <c r="O16" s="25">
        <f>Total!N300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Total!B331</f>
        <v>38</v>
      </c>
      <c r="D17" s="12">
        <f>Total!C331</f>
        <v>3</v>
      </c>
      <c r="E17" s="12">
        <f>Total!D331</f>
        <v>0</v>
      </c>
      <c r="F17" s="12">
        <f>Total!E331</f>
        <v>0</v>
      </c>
      <c r="G17" s="25">
        <f>Total!F331</f>
        <v>0</v>
      </c>
      <c r="H17" s="25">
        <f>Total!G331</f>
        <v>0</v>
      </c>
      <c r="I17" s="25">
        <f>Total!H331</f>
        <v>0</v>
      </c>
      <c r="J17" s="25">
        <f>Total!I331</f>
        <v>0</v>
      </c>
      <c r="K17" s="25">
        <f>Total!J331</f>
        <v>0</v>
      </c>
      <c r="L17" s="25">
        <f>Total!K331</f>
        <v>0</v>
      </c>
      <c r="M17" s="25">
        <f>Total!L331</f>
        <v>0</v>
      </c>
      <c r="N17" s="25">
        <f>Total!M331</f>
        <v>0</v>
      </c>
      <c r="O17" s="25">
        <f>Total!N331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Total!B362</f>
        <v>0</v>
      </c>
      <c r="D18" s="12">
        <f>Total!C362</f>
        <v>0</v>
      </c>
      <c r="E18" s="12">
        <f>Total!D362</f>
        <v>0</v>
      </c>
      <c r="F18" s="12">
        <f>Total!E362</f>
        <v>0</v>
      </c>
      <c r="G18" s="25">
        <f>Total!F362</f>
        <v>0</v>
      </c>
      <c r="H18" s="25">
        <f>Total!G362</f>
        <v>0</v>
      </c>
      <c r="I18" s="25">
        <f>Total!H362</f>
        <v>0</v>
      </c>
      <c r="J18" s="25">
        <f>Total!I362</f>
        <v>0</v>
      </c>
      <c r="K18" s="25">
        <f>Total!J362</f>
        <v>0</v>
      </c>
      <c r="L18" s="25">
        <f>Total!K362</f>
        <v>0</v>
      </c>
      <c r="M18" s="25">
        <f>Total!L362</f>
        <v>0</v>
      </c>
      <c r="N18" s="25">
        <f>Total!M362</f>
        <v>0</v>
      </c>
      <c r="O18" s="25">
        <f>Total!N362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229</v>
      </c>
      <c r="D19" s="17">
        <f t="shared" si="0"/>
        <v>28</v>
      </c>
      <c r="E19" s="17">
        <f t="shared" si="0"/>
        <v>6</v>
      </c>
      <c r="F19" s="17">
        <f t="shared" si="0"/>
        <v>6</v>
      </c>
      <c r="G19" s="18">
        <f t="shared" si="0"/>
        <v>2979771.8499999996</v>
      </c>
      <c r="H19" s="18">
        <f t="shared" si="0"/>
        <v>347177.7</v>
      </c>
      <c r="I19" s="18">
        <f t="shared" si="0"/>
        <v>244032.09</v>
      </c>
      <c r="J19" s="18">
        <f t="shared" si="0"/>
        <v>200496</v>
      </c>
      <c r="K19" s="18">
        <f t="shared" si="0"/>
        <v>116059.55</v>
      </c>
      <c r="L19" s="18">
        <f t="shared" si="0"/>
        <v>202315.55000000002</v>
      </c>
      <c r="M19" s="18">
        <f t="shared" si="0"/>
        <v>3339863.4899999998</v>
      </c>
      <c r="N19" s="18">
        <f t="shared" si="0"/>
        <v>749989.25</v>
      </c>
      <c r="O19" s="19">
        <f t="shared" si="0"/>
        <v>-2589874.2400000002</v>
      </c>
    </row>
    <row r="23" spans="1:15" x14ac:dyDescent="0.25">
      <c r="B23" t="s">
        <v>73</v>
      </c>
      <c r="C23" s="20"/>
      <c r="G23" s="20">
        <f>SUM(C19:E19)</f>
        <v>263</v>
      </c>
      <c r="H23" s="20">
        <f>G23-J4</f>
        <v>263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42" right="0.31" top="0.98425196850393704" bottom="0.98425196850393704" header="0.51181102362204722" footer="0.51181102362204722"/>
  <pageSetup paperSize="9" scale="90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0">
    <tabColor rgb="FFFF0000"/>
    <pageSetUpPr fitToPage="1"/>
  </sheetPr>
  <dimension ref="A1:O24"/>
  <sheetViews>
    <sheetView workbookViewId="0">
      <selection activeCell="G5" sqref="G5"/>
    </sheetView>
  </sheetViews>
  <sheetFormatPr defaultRowHeight="15" x14ac:dyDescent="0.25"/>
  <cols>
    <col min="1" max="6" width="8.7109375" customWidth="1"/>
    <col min="7" max="12" width="11.7109375" customWidth="1"/>
    <col min="13" max="15" width="11.7109375" style="34" customWidth="1"/>
  </cols>
  <sheetData>
    <row r="1" spans="1:15" ht="15.75" customHeight="1" x14ac:dyDescent="0.25">
      <c r="A1" s="198" t="s">
        <v>88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'[12]intern. diaria convenio'!$O$29</f>
        <v>0</v>
      </c>
      <c r="H5" s="191" t="s">
        <v>65</v>
      </c>
      <c r="I5" s="173"/>
      <c r="J5" s="61">
        <f>'[12]intern. diaria convenio'!$O$74</f>
        <v>0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</v>
      </c>
      <c r="J6" s="187"/>
      <c r="K6" s="186" t="s">
        <v>69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Total!B23</f>
        <v>0</v>
      </c>
      <c r="D8" s="12">
        <f>Total!C23</f>
        <v>0</v>
      </c>
      <c r="E8" s="12">
        <f>Total!D23</f>
        <v>0</v>
      </c>
      <c r="F8" s="12">
        <f>Total!E23</f>
        <v>0</v>
      </c>
      <c r="G8" s="46">
        <f>Total!F23</f>
        <v>0</v>
      </c>
      <c r="H8" s="15">
        <f>Total!G23</f>
        <v>0</v>
      </c>
      <c r="I8" s="46">
        <f>Total!H23</f>
        <v>0</v>
      </c>
      <c r="J8" s="15">
        <f>Total!I23</f>
        <v>0</v>
      </c>
      <c r="K8" s="46">
        <f>Total!J23</f>
        <v>0</v>
      </c>
      <c r="L8" s="15">
        <f>Total!K23</f>
        <v>0</v>
      </c>
      <c r="M8" s="27">
        <f>Total!L23</f>
        <v>0</v>
      </c>
      <c r="N8" s="27">
        <f>Total!M23</f>
        <v>0</v>
      </c>
      <c r="O8" s="52">
        <f>Total!N23</f>
        <v>0</v>
      </c>
    </row>
    <row r="9" spans="1:15" s="13" customFormat="1" ht="16.5" customHeight="1" x14ac:dyDescent="0.25">
      <c r="A9" s="188" t="s">
        <v>43</v>
      </c>
      <c r="B9" s="189"/>
      <c r="C9" s="12">
        <f>Total!B54</f>
        <v>0</v>
      </c>
      <c r="D9" s="12">
        <f>Total!C54</f>
        <v>0</v>
      </c>
      <c r="E9" s="12">
        <f>Total!D54</f>
        <v>0</v>
      </c>
      <c r="F9" s="12">
        <f>Total!E54</f>
        <v>0</v>
      </c>
      <c r="G9" s="47">
        <f>Total!F54</f>
        <v>0</v>
      </c>
      <c r="H9" s="15">
        <f>Total!G54</f>
        <v>0</v>
      </c>
      <c r="I9" s="47">
        <f>Total!H54</f>
        <v>0</v>
      </c>
      <c r="J9" s="15">
        <f>Total!I54</f>
        <v>0</v>
      </c>
      <c r="K9" s="47">
        <f>Total!J54</f>
        <v>0</v>
      </c>
      <c r="L9" s="15">
        <f>Total!K54</f>
        <v>0</v>
      </c>
      <c r="M9" s="27">
        <f>Total!L54</f>
        <v>0</v>
      </c>
      <c r="N9" s="27">
        <f>Total!M54</f>
        <v>0</v>
      </c>
      <c r="O9" s="52">
        <f>Total!N54</f>
        <v>0</v>
      </c>
    </row>
    <row r="10" spans="1:15" s="13" customFormat="1" ht="16.5" customHeight="1" x14ac:dyDescent="0.25">
      <c r="A10" s="188" t="s">
        <v>44</v>
      </c>
      <c r="B10" s="189"/>
      <c r="C10" s="12">
        <f>Total!B85</f>
        <v>0</v>
      </c>
      <c r="D10" s="12">
        <f>Total!C85</f>
        <v>0</v>
      </c>
      <c r="E10" s="12">
        <f>Total!D85</f>
        <v>0</v>
      </c>
      <c r="F10" s="12">
        <f>Total!E85</f>
        <v>0</v>
      </c>
      <c r="G10" s="47">
        <f>Total!F85</f>
        <v>0</v>
      </c>
      <c r="H10" s="15">
        <f>Total!G85</f>
        <v>0</v>
      </c>
      <c r="I10" s="47">
        <f>Total!H85</f>
        <v>0</v>
      </c>
      <c r="J10" s="15">
        <f>Total!I85</f>
        <v>0</v>
      </c>
      <c r="K10" s="47">
        <f>Total!J85</f>
        <v>0</v>
      </c>
      <c r="L10" s="15">
        <f>Total!K85</f>
        <v>0</v>
      </c>
      <c r="M10" s="27">
        <f>Total!L85</f>
        <v>0</v>
      </c>
      <c r="N10" s="27">
        <f>Total!M85</f>
        <v>0</v>
      </c>
      <c r="O10" s="52">
        <f>Total!N85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Total!B116</f>
        <v>0</v>
      </c>
      <c r="D11" s="12">
        <f>Total!C116</f>
        <v>0</v>
      </c>
      <c r="E11" s="12">
        <f>Total!D116</f>
        <v>0</v>
      </c>
      <c r="F11" s="12">
        <f>Total!E116</f>
        <v>0</v>
      </c>
      <c r="G11" s="47">
        <f>Total!F116</f>
        <v>0</v>
      </c>
      <c r="H11" s="15">
        <f>Total!G116</f>
        <v>0</v>
      </c>
      <c r="I11" s="47">
        <f>Total!H116</f>
        <v>0</v>
      </c>
      <c r="J11" s="15">
        <f>Total!I116</f>
        <v>0</v>
      </c>
      <c r="K11" s="47">
        <f>Total!J116</f>
        <v>0</v>
      </c>
      <c r="L11" s="15">
        <f>Total!K116</f>
        <v>0</v>
      </c>
      <c r="M11" s="27">
        <f>Total!L116</f>
        <v>0</v>
      </c>
      <c r="N11" s="27">
        <f>Total!M116</f>
        <v>0</v>
      </c>
      <c r="O11" s="52">
        <f>Total!N116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Total!B147</f>
        <v>0</v>
      </c>
      <c r="D12" s="12">
        <f>Total!C147</f>
        <v>0</v>
      </c>
      <c r="E12" s="12">
        <f>Total!D147</f>
        <v>0</v>
      </c>
      <c r="F12" s="12">
        <f>Total!E147</f>
        <v>0</v>
      </c>
      <c r="G12" s="47">
        <f>Total!F147</f>
        <v>0</v>
      </c>
      <c r="H12" s="15">
        <f>Total!G147</f>
        <v>0</v>
      </c>
      <c r="I12" s="47">
        <f>Total!H147</f>
        <v>0</v>
      </c>
      <c r="J12" s="15">
        <f>Total!I147</f>
        <v>0</v>
      </c>
      <c r="K12" s="47">
        <f>Total!J147</f>
        <v>0</v>
      </c>
      <c r="L12" s="15">
        <f>Total!K147</f>
        <v>0</v>
      </c>
      <c r="M12" s="27">
        <f>Total!L147</f>
        <v>0</v>
      </c>
      <c r="N12" s="27">
        <f>Total!M147</f>
        <v>0</v>
      </c>
      <c r="O12" s="52">
        <f>Total!N147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Total!B178</f>
        <v>0</v>
      </c>
      <c r="D13" s="12">
        <f>Total!C178</f>
        <v>0</v>
      </c>
      <c r="E13" s="12">
        <f>Total!D178</f>
        <v>0</v>
      </c>
      <c r="F13" s="12">
        <f>Total!E178</f>
        <v>0</v>
      </c>
      <c r="G13" s="47">
        <f>Total!F178</f>
        <v>0</v>
      </c>
      <c r="H13" s="15">
        <f>Total!G178</f>
        <v>0</v>
      </c>
      <c r="I13" s="47">
        <f>Total!H178</f>
        <v>0</v>
      </c>
      <c r="J13" s="15">
        <f>Total!I178</f>
        <v>0</v>
      </c>
      <c r="K13" s="47">
        <f>Total!J178</f>
        <v>0</v>
      </c>
      <c r="L13" s="15">
        <f>Total!K178</f>
        <v>0</v>
      </c>
      <c r="M13" s="27">
        <f>Total!L178</f>
        <v>0</v>
      </c>
      <c r="N13" s="27">
        <f>Total!M178</f>
        <v>0</v>
      </c>
      <c r="O13" s="52">
        <f>Total!N178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Total!B209</f>
        <v>0</v>
      </c>
      <c r="D14" s="12">
        <f>Total!C209</f>
        <v>0</v>
      </c>
      <c r="E14" s="12">
        <f>Total!D209</f>
        <v>0</v>
      </c>
      <c r="F14" s="12">
        <f>Total!E209</f>
        <v>0</v>
      </c>
      <c r="G14" s="47">
        <f>Total!F209</f>
        <v>0</v>
      </c>
      <c r="H14" s="15">
        <f>Total!G209</f>
        <v>0</v>
      </c>
      <c r="I14" s="47">
        <f>Total!H209</f>
        <v>0</v>
      </c>
      <c r="J14" s="15">
        <f>Total!I209</f>
        <v>0</v>
      </c>
      <c r="K14" s="47">
        <f>Total!J209</f>
        <v>0</v>
      </c>
      <c r="L14" s="47">
        <f>Total!K209</f>
        <v>0</v>
      </c>
      <c r="M14" s="26">
        <f>Total!L209</f>
        <v>0</v>
      </c>
      <c r="N14" s="27">
        <f>Total!M209</f>
        <v>0</v>
      </c>
      <c r="O14" s="52">
        <f>Total!N209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Total!B240</f>
        <v>0</v>
      </c>
      <c r="D15" s="12">
        <f>Total!C240</f>
        <v>0</v>
      </c>
      <c r="E15" s="12">
        <f>Total!D240</f>
        <v>0</v>
      </c>
      <c r="F15" s="12">
        <f>Total!E240</f>
        <v>0</v>
      </c>
      <c r="G15" s="47">
        <f>Total!F240</f>
        <v>0</v>
      </c>
      <c r="H15" s="15">
        <f>Total!G240</f>
        <v>0</v>
      </c>
      <c r="I15" s="47">
        <f>Total!H240</f>
        <v>0</v>
      </c>
      <c r="J15" s="15">
        <f>Total!I240</f>
        <v>0</v>
      </c>
      <c r="K15" s="47">
        <f>Total!J240</f>
        <v>0</v>
      </c>
      <c r="L15" s="15">
        <f>Total!K240</f>
        <v>0</v>
      </c>
      <c r="M15" s="27">
        <f>Total!L240</f>
        <v>0</v>
      </c>
      <c r="N15" s="27">
        <f>Total!M240</f>
        <v>0</v>
      </c>
      <c r="O15" s="52">
        <f>Total!N240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Total!B271</f>
        <v>0</v>
      </c>
      <c r="D16" s="12">
        <f>Total!C271</f>
        <v>0</v>
      </c>
      <c r="E16" s="12">
        <f>Total!D271</f>
        <v>0</v>
      </c>
      <c r="F16" s="12">
        <f>Total!E271</f>
        <v>0</v>
      </c>
      <c r="G16" s="47">
        <f>Total!F271</f>
        <v>0</v>
      </c>
      <c r="H16" s="15">
        <f>Total!G271</f>
        <v>0</v>
      </c>
      <c r="I16" s="47">
        <f>Total!H271</f>
        <v>0</v>
      </c>
      <c r="J16" s="15">
        <f>Total!I271</f>
        <v>0</v>
      </c>
      <c r="K16" s="47">
        <f>Total!J271</f>
        <v>0</v>
      </c>
      <c r="L16" s="15">
        <f>Total!K271</f>
        <v>0</v>
      </c>
      <c r="M16" s="27">
        <f>Total!L271</f>
        <v>0</v>
      </c>
      <c r="N16" s="27">
        <f>Total!M271</f>
        <v>0</v>
      </c>
      <c r="O16" s="52">
        <f>Total!N271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Total!B302</f>
        <v>0</v>
      </c>
      <c r="D17" s="12">
        <f>Total!C302</f>
        <v>0</v>
      </c>
      <c r="E17" s="12">
        <f>Total!D302</f>
        <v>0</v>
      </c>
      <c r="F17" s="12">
        <f>Total!E302</f>
        <v>0</v>
      </c>
      <c r="G17" s="47">
        <f>Total!F302</f>
        <v>0</v>
      </c>
      <c r="H17" s="15">
        <f>Total!G302</f>
        <v>0</v>
      </c>
      <c r="I17" s="47">
        <f>Total!H302</f>
        <v>0</v>
      </c>
      <c r="J17" s="15">
        <f>Total!I302</f>
        <v>0</v>
      </c>
      <c r="K17" s="47">
        <f>Total!J302</f>
        <v>0</v>
      </c>
      <c r="L17" s="15">
        <f>Total!K302</f>
        <v>0</v>
      </c>
      <c r="M17" s="27">
        <f>Total!L302</f>
        <v>0</v>
      </c>
      <c r="N17" s="27">
        <f>Total!M302</f>
        <v>0</v>
      </c>
      <c r="O17" s="52">
        <f>Total!N302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Total!B333</f>
        <v>0</v>
      </c>
      <c r="D18" s="12">
        <f>Total!C333</f>
        <v>0</v>
      </c>
      <c r="E18" s="12">
        <f>Total!D333</f>
        <v>0</v>
      </c>
      <c r="F18" s="12">
        <f>Total!E333</f>
        <v>0</v>
      </c>
      <c r="G18" s="47">
        <f>Total!F333</f>
        <v>0</v>
      </c>
      <c r="H18" s="15">
        <f>Total!G333</f>
        <v>0</v>
      </c>
      <c r="I18" s="47">
        <f>Total!H333</f>
        <v>0</v>
      </c>
      <c r="J18" s="15">
        <f>Total!I333</f>
        <v>0</v>
      </c>
      <c r="K18" s="47">
        <f>Total!J333</f>
        <v>0</v>
      </c>
      <c r="L18" s="15">
        <f>Total!K333</f>
        <v>0</v>
      </c>
      <c r="M18" s="27">
        <f>Total!L333</f>
        <v>0</v>
      </c>
      <c r="N18" s="27">
        <f>Total!M333</f>
        <v>0</v>
      </c>
      <c r="O18" s="52">
        <f>Total!N333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Total!B364</f>
        <v>0</v>
      </c>
      <c r="D19" s="12">
        <f>Total!C364</f>
        <v>0</v>
      </c>
      <c r="E19" s="12">
        <f>Total!D364</f>
        <v>0</v>
      </c>
      <c r="F19" s="12">
        <f>Total!E364</f>
        <v>0</v>
      </c>
      <c r="G19" s="48">
        <f>Total!F364</f>
        <v>0</v>
      </c>
      <c r="H19" s="15">
        <f>Total!G364</f>
        <v>0</v>
      </c>
      <c r="I19" s="48">
        <f>Total!H364</f>
        <v>0</v>
      </c>
      <c r="J19" s="15">
        <f>Total!I364</f>
        <v>0</v>
      </c>
      <c r="K19" s="48">
        <f>Total!J364</f>
        <v>0</v>
      </c>
      <c r="L19" s="15">
        <f>Total!K364</f>
        <v>0</v>
      </c>
      <c r="M19" s="27">
        <f>Total!L364</f>
        <v>0</v>
      </c>
      <c r="N19" s="27">
        <f>Total!M364</f>
        <v>0</v>
      </c>
      <c r="O19" s="52">
        <f>Total!N364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0</v>
      </c>
      <c r="H24" s="20">
        <f>G24-J5</f>
        <v>0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24">
    <tabColor rgb="FFFF0000"/>
  </sheetPr>
  <dimension ref="A1:O23"/>
  <sheetViews>
    <sheetView workbookViewId="0">
      <selection activeCell="A2" sqref="A2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84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'[10]intern. diaria convenio'!$O$33</f>
        <v>0</v>
      </c>
      <c r="H4" s="210" t="s">
        <v>65</v>
      </c>
      <c r="I4" s="181"/>
      <c r="J4" s="3">
        <f>'[10]intern. diaria convenio'!$O$78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Total!B27</f>
        <v>0</v>
      </c>
      <c r="D7" s="12">
        <f>Total!C27</f>
        <v>0</v>
      </c>
      <c r="E7" s="12">
        <f>Total!D27</f>
        <v>0</v>
      </c>
      <c r="F7" s="12">
        <f>Total!E27</f>
        <v>0</v>
      </c>
      <c r="G7" s="25">
        <f>Total!F27</f>
        <v>4419.3500000000004</v>
      </c>
      <c r="H7" s="25">
        <f>Total!G27</f>
        <v>40504.21</v>
      </c>
      <c r="I7" s="25">
        <f>Total!H27</f>
        <v>7280.85</v>
      </c>
      <c r="J7" s="25">
        <f>Total!I27</f>
        <v>2262.4</v>
      </c>
      <c r="K7" s="25">
        <f>Total!J27</f>
        <v>24802.51</v>
      </c>
      <c r="L7" s="25">
        <f>Total!K27</f>
        <v>5946.05</v>
      </c>
      <c r="M7" s="25">
        <f>Total!L27</f>
        <v>36502.71</v>
      </c>
      <c r="N7" s="25">
        <f>Total!M27</f>
        <v>4460.7</v>
      </c>
      <c r="O7" s="25">
        <f>Total!N27</f>
        <v>-32042.01</v>
      </c>
    </row>
    <row r="8" spans="1:15" s="13" customFormat="1" ht="24.95" customHeight="1" x14ac:dyDescent="0.25">
      <c r="A8" s="188" t="s">
        <v>43</v>
      </c>
      <c r="B8" s="189"/>
      <c r="C8" s="12">
        <f>Total!B58</f>
        <v>0</v>
      </c>
      <c r="D8" s="12">
        <f>Total!C58</f>
        <v>0</v>
      </c>
      <c r="E8" s="12">
        <f>Total!D58</f>
        <v>0</v>
      </c>
      <c r="F8" s="12">
        <f>Total!E58</f>
        <v>0</v>
      </c>
      <c r="G8" s="25">
        <f>Total!F58</f>
        <v>5840.44</v>
      </c>
      <c r="H8" s="25">
        <f>Total!G58</f>
        <v>38032.03</v>
      </c>
      <c r="I8" s="25">
        <f>Total!H58</f>
        <v>69389.88</v>
      </c>
      <c r="J8" s="25">
        <f>Total!I58</f>
        <v>40217.1</v>
      </c>
      <c r="K8" s="25">
        <f>Total!J58</f>
        <v>22918.57</v>
      </c>
      <c r="L8" s="25">
        <f>Total!K58</f>
        <v>8034.01</v>
      </c>
      <c r="M8" s="25">
        <f>Total!L58</f>
        <v>98148.890000000014</v>
      </c>
      <c r="N8" s="25">
        <f>Total!M58</f>
        <v>1940.1</v>
      </c>
      <c r="O8" s="25">
        <f>Total!N58</f>
        <v>-96208.790000000008</v>
      </c>
    </row>
    <row r="9" spans="1:15" s="13" customFormat="1" ht="24.95" customHeight="1" x14ac:dyDescent="0.25">
      <c r="A9" s="188" t="s">
        <v>44</v>
      </c>
      <c r="B9" s="189"/>
      <c r="C9" s="12" t="e">
        <f>Total!#REF!</f>
        <v>#REF!</v>
      </c>
      <c r="D9" s="12">
        <f>Total!C89</f>
        <v>0</v>
      </c>
      <c r="E9" s="12">
        <f>Total!D89</f>
        <v>0</v>
      </c>
      <c r="F9" s="12">
        <f>Total!E89</f>
        <v>0</v>
      </c>
      <c r="G9" s="25">
        <f>Total!F89</f>
        <v>6455.07</v>
      </c>
      <c r="H9" s="25">
        <f>Total!G89</f>
        <v>38617.199999999997</v>
      </c>
      <c r="I9" s="25">
        <f>Total!H89</f>
        <v>9960.75</v>
      </c>
      <c r="J9" s="25">
        <f>Total!I89</f>
        <v>5516.7</v>
      </c>
      <c r="K9" s="25">
        <f>Total!J89</f>
        <v>10574.53</v>
      </c>
      <c r="L9" s="25">
        <f>Total!K89</f>
        <v>2747.28</v>
      </c>
      <c r="M9" s="25">
        <f>Total!L89</f>
        <v>26990.35</v>
      </c>
      <c r="N9" s="25">
        <f>Total!M89</f>
        <v>2591.8000000000002</v>
      </c>
      <c r="O9" s="25">
        <f>Total!N89</f>
        <v>-24398.55</v>
      </c>
    </row>
    <row r="10" spans="1:15" s="13" customFormat="1" ht="24.95" customHeight="1" x14ac:dyDescent="0.25">
      <c r="A10" s="188" t="s">
        <v>45</v>
      </c>
      <c r="B10" s="189"/>
      <c r="C10" s="12" t="e">
        <f>Total!#REF!</f>
        <v>#REF!</v>
      </c>
      <c r="D10" s="12">
        <f>Total!C120</f>
        <v>0</v>
      </c>
      <c r="E10" s="12">
        <f>Total!D120</f>
        <v>0</v>
      </c>
      <c r="F10" s="12">
        <f>Total!E120</f>
        <v>0</v>
      </c>
      <c r="G10" s="25">
        <f>Total!F120</f>
        <v>4829.8</v>
      </c>
      <c r="H10" s="25">
        <f>Total!G120</f>
        <v>15481.65</v>
      </c>
      <c r="I10" s="25">
        <f>Total!H120</f>
        <v>9748.65</v>
      </c>
      <c r="J10" s="25">
        <f>Total!I120</f>
        <v>5766.6</v>
      </c>
      <c r="K10" s="25">
        <f>Total!J120</f>
        <v>2978.2</v>
      </c>
      <c r="L10" s="25">
        <f>Total!K120</f>
        <v>2160.48</v>
      </c>
      <c r="M10" s="25">
        <f>Total!L120</f>
        <v>17556.650000000001</v>
      </c>
      <c r="N10" s="25">
        <f>Total!M120</f>
        <v>653.4</v>
      </c>
      <c r="O10" s="25">
        <f>Total!N120</f>
        <v>-16903.25</v>
      </c>
    </row>
    <row r="11" spans="1:15" s="13" customFormat="1" ht="24.95" customHeight="1" x14ac:dyDescent="0.25">
      <c r="A11" s="188" t="s">
        <v>46</v>
      </c>
      <c r="B11" s="189"/>
      <c r="C11" s="12">
        <f>Total!B151</f>
        <v>0</v>
      </c>
      <c r="D11" s="12">
        <f>Total!C151</f>
        <v>0</v>
      </c>
      <c r="E11" s="12">
        <f>Total!D151</f>
        <v>0</v>
      </c>
      <c r="F11" s="12">
        <f>Total!E151</f>
        <v>0</v>
      </c>
      <c r="G11" s="25">
        <f>Total!F151</f>
        <v>4797.47</v>
      </c>
      <c r="H11" s="25">
        <f>Total!G151</f>
        <v>39140.78</v>
      </c>
      <c r="I11" s="25">
        <f>Total!H151</f>
        <v>18923.849999999999</v>
      </c>
      <c r="J11" s="25">
        <f>Total!I151</f>
        <v>10303.299999999999</v>
      </c>
      <c r="K11" s="25">
        <f>Total!J151</f>
        <v>438.08</v>
      </c>
      <c r="L11" s="25">
        <f>Total!K151</f>
        <v>175</v>
      </c>
      <c r="M11" s="25">
        <f>Total!L151</f>
        <v>24159.4</v>
      </c>
      <c r="N11" s="25">
        <f>Total!M151</f>
        <v>1789.8</v>
      </c>
      <c r="O11" s="25">
        <f>Total!N151</f>
        <v>-22369.600000000002</v>
      </c>
    </row>
    <row r="12" spans="1:15" s="13" customFormat="1" ht="24.95" customHeight="1" x14ac:dyDescent="0.25">
      <c r="A12" s="188" t="s">
        <v>47</v>
      </c>
      <c r="B12" s="189"/>
      <c r="C12" s="12">
        <f>Total!B182</f>
        <v>0</v>
      </c>
      <c r="D12" s="12">
        <f>Total!C182</f>
        <v>0</v>
      </c>
      <c r="E12" s="12">
        <f>Total!D182</f>
        <v>0</v>
      </c>
      <c r="F12" s="12">
        <f>Total!E182</f>
        <v>0</v>
      </c>
      <c r="G12" s="25">
        <f>Total!F182</f>
        <v>5273.09</v>
      </c>
      <c r="H12" s="25">
        <f>Total!G182</f>
        <v>17724.740000000002</v>
      </c>
      <c r="I12" s="25">
        <f>Total!H182</f>
        <v>34980.449999999997</v>
      </c>
      <c r="J12" s="25">
        <f>Total!I182</f>
        <v>20239.8</v>
      </c>
      <c r="K12" s="25">
        <f>Total!J182</f>
        <v>1416.67</v>
      </c>
      <c r="L12" s="25">
        <f>Total!K182</f>
        <v>730.92</v>
      </c>
      <c r="M12" s="25">
        <f>Total!L182</f>
        <v>41670.209999999992</v>
      </c>
      <c r="N12" s="25">
        <f>Total!M182</f>
        <v>6239.5</v>
      </c>
      <c r="O12" s="25">
        <f>Total!N182</f>
        <v>-35430.709999999992</v>
      </c>
    </row>
    <row r="13" spans="1:15" s="13" customFormat="1" ht="24.95" customHeight="1" x14ac:dyDescent="0.25">
      <c r="A13" s="188" t="s">
        <v>48</v>
      </c>
      <c r="B13" s="189"/>
      <c r="C13" s="12">
        <f>Total!B213</f>
        <v>5</v>
      </c>
      <c r="D13" s="12">
        <f>Total!C213</f>
        <v>0</v>
      </c>
      <c r="E13" s="12">
        <f>Total!D213</f>
        <v>13</v>
      </c>
      <c r="F13" s="12">
        <f>Total!E213</f>
        <v>0</v>
      </c>
      <c r="G13" s="25">
        <f>Total!F213</f>
        <v>0</v>
      </c>
      <c r="H13" s="25">
        <f>Total!G213</f>
        <v>0</v>
      </c>
      <c r="I13" s="25">
        <f>Total!H213</f>
        <v>0</v>
      </c>
      <c r="J13" s="25">
        <f>Total!I213</f>
        <v>0</v>
      </c>
      <c r="K13" s="25">
        <f>Total!J213</f>
        <v>0</v>
      </c>
      <c r="L13" s="25">
        <f>Total!K213</f>
        <v>0</v>
      </c>
      <c r="M13" s="25">
        <f>Total!L213</f>
        <v>0</v>
      </c>
      <c r="N13" s="25">
        <f>Total!M213</f>
        <v>1791.9</v>
      </c>
      <c r="O13" s="25">
        <f>Total!N213</f>
        <v>1791.9</v>
      </c>
    </row>
    <row r="14" spans="1:15" s="13" customFormat="1" ht="24.95" customHeight="1" x14ac:dyDescent="0.25">
      <c r="A14" s="188" t="s">
        <v>49</v>
      </c>
      <c r="B14" s="189"/>
      <c r="C14" s="12">
        <f>Total!B244</f>
        <v>25</v>
      </c>
      <c r="D14" s="12">
        <f>Total!C244</f>
        <v>3</v>
      </c>
      <c r="E14" s="12">
        <f>Total!D244</f>
        <v>0</v>
      </c>
      <c r="F14" s="12">
        <f>Total!E244</f>
        <v>0</v>
      </c>
      <c r="G14" s="25">
        <f>Total!F244</f>
        <v>0</v>
      </c>
      <c r="H14" s="25">
        <f>Total!G244</f>
        <v>0</v>
      </c>
      <c r="I14" s="25">
        <f>Total!H244</f>
        <v>0</v>
      </c>
      <c r="J14" s="25">
        <f>Total!I244</f>
        <v>0</v>
      </c>
      <c r="K14" s="25">
        <f>Total!J244</f>
        <v>0</v>
      </c>
      <c r="L14" s="25">
        <f>Total!K244</f>
        <v>0</v>
      </c>
      <c r="M14" s="25">
        <f>Total!L244</f>
        <v>0</v>
      </c>
      <c r="N14" s="25">
        <f>Total!M244</f>
        <v>4296.6000000000004</v>
      </c>
      <c r="O14" s="25">
        <f>Total!N244</f>
        <v>4296.6000000000004</v>
      </c>
    </row>
    <row r="15" spans="1:15" s="13" customFormat="1" ht="24.95" customHeight="1" x14ac:dyDescent="0.25">
      <c r="A15" s="188" t="s">
        <v>50</v>
      </c>
      <c r="B15" s="189"/>
      <c r="C15" s="12">
        <f>Total!B275</f>
        <v>55</v>
      </c>
      <c r="D15" s="12">
        <f>Total!C275</f>
        <v>0</v>
      </c>
      <c r="E15" s="12">
        <f>Total!D275</f>
        <v>8</v>
      </c>
      <c r="F15" s="12">
        <f>Total!E275</f>
        <v>0</v>
      </c>
      <c r="G15" s="25">
        <f>Total!F275</f>
        <v>0</v>
      </c>
      <c r="H15" s="25">
        <f>Total!G275</f>
        <v>0</v>
      </c>
      <c r="I15" s="25">
        <f>Total!H275</f>
        <v>0</v>
      </c>
      <c r="J15" s="25">
        <f>Total!I275</f>
        <v>0</v>
      </c>
      <c r="K15" s="25">
        <f>Total!J275</f>
        <v>0</v>
      </c>
      <c r="L15" s="25">
        <f>Total!K275</f>
        <v>0</v>
      </c>
      <c r="M15" s="25">
        <f>Total!L275</f>
        <v>0</v>
      </c>
      <c r="N15" s="25">
        <f>Total!M275</f>
        <v>3081.2</v>
      </c>
      <c r="O15" s="25">
        <f>Total!N275</f>
        <v>3081.2</v>
      </c>
    </row>
    <row r="16" spans="1:15" s="13" customFormat="1" ht="24.95" customHeight="1" x14ac:dyDescent="0.25">
      <c r="A16" s="188" t="s">
        <v>51</v>
      </c>
      <c r="B16" s="189"/>
      <c r="C16" s="12">
        <f>Total!B306</f>
        <v>14</v>
      </c>
      <c r="D16" s="12">
        <f>Total!C306</f>
        <v>0</v>
      </c>
      <c r="E16" s="12">
        <f>Total!D306</f>
        <v>0</v>
      </c>
      <c r="F16" s="12">
        <f>Total!E306</f>
        <v>0</v>
      </c>
      <c r="G16" s="25">
        <f>Total!F306</f>
        <v>0</v>
      </c>
      <c r="H16" s="25">
        <f>Total!G306</f>
        <v>0</v>
      </c>
      <c r="I16" s="25">
        <f>Total!H306</f>
        <v>0</v>
      </c>
      <c r="J16" s="25">
        <f>Total!I306</f>
        <v>0</v>
      </c>
      <c r="K16" s="25">
        <f>Total!J306</f>
        <v>0</v>
      </c>
      <c r="L16" s="25">
        <f>Total!K306</f>
        <v>0</v>
      </c>
      <c r="M16" s="25">
        <f>Total!L306</f>
        <v>0</v>
      </c>
      <c r="N16" s="25">
        <f>Total!M306</f>
        <v>0</v>
      </c>
      <c r="O16" s="25">
        <f>Total!N306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Total!B337</f>
        <v>5</v>
      </c>
      <c r="D17" s="12">
        <f>Total!C337</f>
        <v>0</v>
      </c>
      <c r="E17" s="12">
        <f>Total!D337</f>
        <v>7</v>
      </c>
      <c r="F17" s="12">
        <f>Total!E337</f>
        <v>0</v>
      </c>
      <c r="G17" s="25">
        <f>Total!F337</f>
        <v>0</v>
      </c>
      <c r="H17" s="25">
        <f>Total!G337</f>
        <v>0</v>
      </c>
      <c r="I17" s="25">
        <f>Total!H337</f>
        <v>0</v>
      </c>
      <c r="J17" s="25">
        <f>Total!I337</f>
        <v>0</v>
      </c>
      <c r="K17" s="25">
        <f>Total!J337</f>
        <v>0</v>
      </c>
      <c r="L17" s="25">
        <f>Total!K337</f>
        <v>0</v>
      </c>
      <c r="M17" s="25">
        <f>Total!L337</f>
        <v>0</v>
      </c>
      <c r="N17" s="25">
        <f>Total!M337</f>
        <v>0</v>
      </c>
      <c r="O17" s="25">
        <f>Total!N337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Total!B368</f>
        <v>0</v>
      </c>
      <c r="D18" s="12">
        <f>Total!C368</f>
        <v>0</v>
      </c>
      <c r="E18" s="12">
        <f>Total!D368</f>
        <v>0</v>
      </c>
      <c r="F18" s="12">
        <f>Total!E368</f>
        <v>0</v>
      </c>
      <c r="G18" s="25">
        <f>Total!F368</f>
        <v>0</v>
      </c>
      <c r="H18" s="25">
        <f>Total!G368</f>
        <v>0</v>
      </c>
      <c r="I18" s="25">
        <f>Total!H368</f>
        <v>0</v>
      </c>
      <c r="J18" s="25">
        <f>Total!I368</f>
        <v>0</v>
      </c>
      <c r="K18" s="25">
        <f>Total!J368</f>
        <v>0</v>
      </c>
      <c r="L18" s="25">
        <f>Total!K368</f>
        <v>0</v>
      </c>
      <c r="M18" s="25">
        <f>Total!L368</f>
        <v>0</v>
      </c>
      <c r="N18" s="25">
        <f>Total!M368</f>
        <v>0</v>
      </c>
      <c r="O18" s="25">
        <f>Total!N368</f>
        <v>0</v>
      </c>
    </row>
    <row r="19" spans="1:15" s="13" customFormat="1" ht="24.95" customHeight="1" thickBot="1" x14ac:dyDescent="0.3">
      <c r="A19" s="195" t="s">
        <v>72</v>
      </c>
      <c r="B19" s="187"/>
      <c r="C19" s="17" t="e">
        <f t="shared" ref="C19:O19" si="0">SUM(C7:C18)</f>
        <v>#REF!</v>
      </c>
      <c r="D19" s="17">
        <f t="shared" si="0"/>
        <v>3</v>
      </c>
      <c r="E19" s="17">
        <f t="shared" si="0"/>
        <v>28</v>
      </c>
      <c r="F19" s="17">
        <f t="shared" si="0"/>
        <v>0</v>
      </c>
      <c r="G19" s="49">
        <f t="shared" si="0"/>
        <v>31615.22</v>
      </c>
      <c r="H19" s="49">
        <f t="shared" si="0"/>
        <v>189500.61</v>
      </c>
      <c r="I19" s="49">
        <f t="shared" si="0"/>
        <v>150284.43</v>
      </c>
      <c r="J19" s="49">
        <f t="shared" si="0"/>
        <v>84305.9</v>
      </c>
      <c r="K19" s="49">
        <f t="shared" si="0"/>
        <v>63128.56</v>
      </c>
      <c r="L19" s="49">
        <f t="shared" si="0"/>
        <v>19793.739999999998</v>
      </c>
      <c r="M19" s="49">
        <f t="shared" si="0"/>
        <v>245028.21</v>
      </c>
      <c r="N19" s="49">
        <f t="shared" si="0"/>
        <v>26844.999999999996</v>
      </c>
      <c r="O19" s="49">
        <f t="shared" si="0"/>
        <v>-218183.21</v>
      </c>
    </row>
    <row r="23" spans="1:15" x14ac:dyDescent="0.25">
      <c r="B23" t="s">
        <v>73</v>
      </c>
      <c r="C23" s="20"/>
      <c r="G23" s="20" t="e">
        <f>SUM(C19:E19)</f>
        <v>#REF!</v>
      </c>
      <c r="H23" s="20" t="e">
        <f>G23-J4</f>
        <v>#REF!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78740157480314965" right="0.78740157480314965" top="0.98425196850393704" bottom="0.98425196850393704" header="0.51181102362204722" footer="0.51181102362204722"/>
  <pageSetup paperSize="9" scale="80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0"/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31</vt:i4>
      </vt:variant>
      <vt:variant>
        <vt:lpstr>Intervalos Nomeados</vt:lpstr>
      </vt:variant>
      <vt:variant>
        <vt:i4>16</vt:i4>
      </vt:variant>
    </vt:vector>
  </HeadingPairs>
  <TitlesOfParts>
    <vt:vector size="47" baseType="lpstr">
      <vt:lpstr>Total</vt:lpstr>
      <vt:lpstr>Acordo Judicial</vt:lpstr>
      <vt:lpstr>Acordo</vt:lpstr>
      <vt:lpstr>C.M.I</vt:lpstr>
      <vt:lpstr>CABERGS</vt:lpstr>
      <vt:lpstr>CAIXA ECONOMICA</vt:lpstr>
      <vt:lpstr>CASSI</vt:lpstr>
      <vt:lpstr>EMBAIXADOR</vt:lpstr>
      <vt:lpstr>GEAP</vt:lpstr>
      <vt:lpstr>IPE</vt:lpstr>
      <vt:lpstr>IPE SEM PIN PAD</vt:lpstr>
      <vt:lpstr>PARTICULAR</vt:lpstr>
      <vt:lpstr>SAUDE BRADESCO</vt:lpstr>
      <vt:lpstr>SAUDE MAIOR</vt:lpstr>
      <vt:lpstr>SOCIOS</vt:lpstr>
      <vt:lpstr>SULAMERICA</vt:lpstr>
      <vt:lpstr>SUS</vt:lpstr>
      <vt:lpstr>UNIMED</vt:lpstr>
      <vt:lpstr>E.B.C.T.</vt:lpstr>
      <vt:lpstr>Total Acordo Amb-Int</vt:lpstr>
      <vt:lpstr>Total C.M.I Amb-Int</vt:lpstr>
      <vt:lpstr>Total Socios Amb-Int</vt:lpstr>
      <vt:lpstr>Assefaz</vt:lpstr>
      <vt:lpstr>CAPESAUDE</vt:lpstr>
      <vt:lpstr>CASEMBRAPA</vt:lpstr>
      <vt:lpstr>FUSEX</vt:lpstr>
      <vt:lpstr>SAUDE PAS</vt:lpstr>
      <vt:lpstr>IPIRANGA - SAMEISA</vt:lpstr>
      <vt:lpstr>PETROBRAS</vt:lpstr>
      <vt:lpstr>SENRGISUL</vt:lpstr>
      <vt:lpstr>Plan1</vt:lpstr>
      <vt:lpstr>Acordo!Area_de_impressao</vt:lpstr>
      <vt:lpstr>'Acordo Judicial'!Area_de_impressao</vt:lpstr>
      <vt:lpstr>'CAIXA ECONOMICA'!Area_de_impressao</vt:lpstr>
      <vt:lpstr>FUSEX!Area_de_impressao</vt:lpstr>
      <vt:lpstr>GEAP!Area_de_impressao</vt:lpstr>
      <vt:lpstr>IPE!Area_de_impressao</vt:lpstr>
      <vt:lpstr>'IPIRANGA - SAMEISA'!Area_de_impressao</vt:lpstr>
      <vt:lpstr>PARTICULAR!Area_de_impressao</vt:lpstr>
      <vt:lpstr>PETROBRAS!Area_de_impressao</vt:lpstr>
      <vt:lpstr>'SAUDE BRADESCO'!Area_de_impressao</vt:lpstr>
      <vt:lpstr>'SAUDE MAIOR'!Area_de_impressao</vt:lpstr>
      <vt:lpstr>SOCIOS!Area_de_impressao</vt:lpstr>
      <vt:lpstr>SULAMERICA!Area_de_impressao</vt:lpstr>
      <vt:lpstr>SUS!Area_de_impressao</vt:lpstr>
      <vt:lpstr>Total!Area_de_impressao</vt:lpstr>
      <vt:lpstr>UNIMED!Area_de_impressao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diovana</dc:creator>
  <cp:lastModifiedBy>RICARDO ROCKENBACH MASCARENHAS</cp:lastModifiedBy>
  <cp:lastPrinted>2025-12-31T14:18:41Z</cp:lastPrinted>
  <dcterms:created xsi:type="dcterms:W3CDTF">2014-07-29T18:34:05Z</dcterms:created>
  <dcterms:modified xsi:type="dcterms:W3CDTF">2026-03-09T20:30:11Z</dcterms:modified>
</cp:coreProperties>
</file>